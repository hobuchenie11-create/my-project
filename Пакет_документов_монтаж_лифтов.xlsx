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Смета" sheetId="2" state="visible" r:id="rId4"/>
    <sheet name="Спецификация" sheetId="3" state="visible" r:id="rId5"/>
    <sheet name="КП" sheetId="4" state="visible" r:id="rId6"/>
    <sheet name="КС-2" sheetId="5" state="visible" r:id="rId7"/>
    <sheet name="КС-3" sheetId="6" state="visible" r:id="rId8"/>
    <sheet name="Счёт" sheetId="7" state="visible" r:id="rId9"/>
    <sheet name="Сопроводительное письмо" sheetId="8" state="visible" r:id="rId10"/>
    <sheet name="Договор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1" authorId="0">
      <text>
        <r>
          <rPr>
            <sz val="10"/>
            <rFont val="Arial"/>
            <family val="2"/>
          </rPr>
          <t xml:space="preserve">Сумма прописью не пересчитывается формулой. При изменении сметы или спецификации сверьте с ячейкой «Цена договора с НДС (расчёт)» выше и обновите текст.</t>
        </r>
      </text>
    </comment>
  </commentList>
</comments>
</file>

<file path=xl/sharedStrings.xml><?xml version="1.0" encoding="utf-8"?>
<sst xmlns="http://schemas.openxmlformats.org/spreadsheetml/2006/main" count="223" uniqueCount="166">
  <si>
    <t xml:space="preserve">ПАРАМЕТРЫ ПАКЕТА ДОКУМЕНТОВ (единый источник данных)</t>
  </si>
  <si>
    <t xml:space="preserve">Жёлтые ячейки с синим шрифтом — исходные данные: заполняйте/меняйте только их. Все остальные листы обновятся автоматически.</t>
  </si>
  <si>
    <t xml:space="preserve">1. ДОГОВОР</t>
  </si>
  <si>
    <t xml:space="preserve">Номер договора</t>
  </si>
  <si>
    <t xml:space="preserve">ПД-14/2026</t>
  </si>
  <si>
    <t xml:space="preserve">Дата договора</t>
  </si>
  <si>
    <t xml:space="preserve">Место заключения</t>
  </si>
  <si>
    <t xml:space="preserve">г. Москва</t>
  </si>
  <si>
    <t xml:space="preserve">Дата начала работ</t>
  </si>
  <si>
    <t xml:space="preserve">Дата окончания работ</t>
  </si>
  <si>
    <t xml:space="preserve">Аванс, % от цены договора</t>
  </si>
  <si>
    <t xml:space="preserve">Гарантийный срок, мес.</t>
  </si>
  <si>
    <t xml:space="preserve">Ставка НДС</t>
  </si>
  <si>
    <t xml:space="preserve">Неустойка за просрочку, % за каждый день</t>
  </si>
  <si>
    <t xml:space="preserve">2. ЗАКАЗЧИК</t>
  </si>
  <si>
    <t xml:space="preserve">Полное наименование</t>
  </si>
  <si>
    <t xml:space="preserve">Общество с ограниченной ответственностью «Специализированный застройщик «Новый квартал»</t>
  </si>
  <si>
    <t xml:space="preserve">Краткое наименование</t>
  </si>
  <si>
    <t xml:space="preserve">ООО «СЗ «Новый квартал»</t>
  </si>
  <si>
    <t xml:space="preserve">ИНН</t>
  </si>
  <si>
    <t xml:space="preserve">7701234567</t>
  </si>
  <si>
    <t xml:space="preserve">КПП</t>
  </si>
  <si>
    <t xml:space="preserve">770101001</t>
  </si>
  <si>
    <t xml:space="preserve">ОГРН</t>
  </si>
  <si>
    <t xml:space="preserve">1157746123456</t>
  </si>
  <si>
    <t xml:space="preserve">Юридический адрес</t>
  </si>
  <si>
    <t xml:space="preserve">101000, г. Москва, ул. Мясницкая, д. 10, офис 5</t>
  </si>
  <si>
    <t xml:space="preserve">Банк</t>
  </si>
  <si>
    <t xml:space="preserve">ПАО «Сбербанк России», г. Москва</t>
  </si>
  <si>
    <t xml:space="preserve">БИК</t>
  </si>
  <si>
    <t xml:space="preserve">044525225</t>
  </si>
  <si>
    <t xml:space="preserve">Расчётный счёт</t>
  </si>
  <si>
    <t xml:space="preserve">40702810438000012345</t>
  </si>
  <si>
    <t xml:space="preserve">Корреспондентский счёт</t>
  </si>
  <si>
    <t xml:space="preserve">30101810400000000225</t>
  </si>
  <si>
    <t xml:space="preserve">Должность руководителя</t>
  </si>
  <si>
    <t xml:space="preserve">Генеральный директор</t>
  </si>
  <si>
    <t xml:space="preserve">ФИО руководителя (полностью)</t>
  </si>
  <si>
    <t xml:space="preserve">Иванов Иван Иванович</t>
  </si>
  <si>
    <t xml:space="preserve">ФИО руководителя (кратко)</t>
  </si>
  <si>
    <t xml:space="preserve">Иванов И.И.</t>
  </si>
  <si>
    <t xml:space="preserve">Действует на основании (род. падеж)</t>
  </si>
  <si>
    <t xml:space="preserve">Устава</t>
  </si>
  <si>
    <t xml:space="preserve">Должность руководителя (род. падеж)</t>
  </si>
  <si>
    <t xml:space="preserve">Генерального директора</t>
  </si>
  <si>
    <t xml:space="preserve">ФИО руководителя (род. падеж)</t>
  </si>
  <si>
    <t xml:space="preserve">Иванова Ивана Ивановича</t>
  </si>
  <si>
    <t xml:space="preserve">Должность руководителя (дат. падеж, для писем)</t>
  </si>
  <si>
    <t xml:space="preserve">Генеральному директору</t>
  </si>
  <si>
    <t xml:space="preserve">ФИО руководителя (дат. падеж)</t>
  </si>
  <si>
    <t xml:space="preserve">Иванову И.И.</t>
  </si>
  <si>
    <t xml:space="preserve">Имя и отчество руководителя (для обращения)</t>
  </si>
  <si>
    <t xml:space="preserve">Иван Иванович</t>
  </si>
  <si>
    <t xml:space="preserve">Телефон</t>
  </si>
  <si>
    <t xml:space="preserve">+7 (495) 123-45-67</t>
  </si>
  <si>
    <t xml:space="preserve">E-mail</t>
  </si>
  <si>
    <t xml:space="preserve">info@nk-dev.ru</t>
  </si>
  <si>
    <t xml:space="preserve">3. ПОДРЯДЧИК</t>
  </si>
  <si>
    <t xml:space="preserve">Общество с ограниченной ответственностью «ЛифтМонтажСервис»</t>
  </si>
  <si>
    <t xml:space="preserve">ООО «ЛифтМонтажСервис»</t>
  </si>
  <si>
    <t xml:space="preserve">7725678901</t>
  </si>
  <si>
    <t xml:space="preserve">772501001</t>
  </si>
  <si>
    <t xml:space="preserve">1187746654321</t>
  </si>
  <si>
    <t xml:space="preserve">115280, г. Москва, ул. Ленинская Слобода, д. 19, стр. 2</t>
  </si>
  <si>
    <t xml:space="preserve">АО «Альфа-Банк», г. Москва</t>
  </si>
  <si>
    <t xml:space="preserve">044525593</t>
  </si>
  <si>
    <t xml:space="preserve">40702810102300067890</t>
  </si>
  <si>
    <t xml:space="preserve">30101810200000000593</t>
  </si>
  <si>
    <t xml:space="preserve">Петров Пётр Петрович</t>
  </si>
  <si>
    <t xml:space="preserve">Петров П.П.</t>
  </si>
  <si>
    <t xml:space="preserve">Петрова Петра Петровича</t>
  </si>
  <si>
    <t xml:space="preserve">Главный бухгалтер (для счёта)</t>
  </si>
  <si>
    <t xml:space="preserve">Сидорова А.В.</t>
  </si>
  <si>
    <t xml:space="preserve">+7 (495) 987-65-43</t>
  </si>
  <si>
    <t xml:space="preserve">office@liftmontag.ru</t>
  </si>
  <si>
    <t xml:space="preserve">4. ОБЪЕКТ</t>
  </si>
  <si>
    <t xml:space="preserve">Наименование объекта</t>
  </si>
  <si>
    <t xml:space="preserve">Многоквартирный жилой дом, корпус 3</t>
  </si>
  <si>
    <t xml:space="preserve">Адрес объекта</t>
  </si>
  <si>
    <t xml:space="preserve">г. Москва, ул. Полярная, д. 25, корп. 3</t>
  </si>
  <si>
    <t xml:space="preserve">Количество лифтов, шт.</t>
  </si>
  <si>
    <t xml:space="preserve">Тип оборудования</t>
  </si>
  <si>
    <t xml:space="preserve">лифт пассажирский, г/п 630 кг, скорость 1,0 м/с, 9 остановок</t>
  </si>
  <si>
    <t xml:space="preserve">5. НОМЕРА И ДАТЫ ДОКУМЕНТОВ</t>
  </si>
  <si>
    <t xml:space="preserve">Коммерческое предложение: номер</t>
  </si>
  <si>
    <t xml:space="preserve">14-КП</t>
  </si>
  <si>
    <t xml:space="preserve">Коммерческое предложение: дата</t>
  </si>
  <si>
    <t xml:space="preserve">Акт КС-2: номер</t>
  </si>
  <si>
    <t xml:space="preserve">1</t>
  </si>
  <si>
    <t xml:space="preserve">Акт КС-2: дата</t>
  </si>
  <si>
    <t xml:space="preserve">Отчётный период: с</t>
  </si>
  <si>
    <t xml:space="preserve">Отчётный период: по</t>
  </si>
  <si>
    <t xml:space="preserve">Справка КС-3: номер</t>
  </si>
  <si>
    <t xml:space="preserve">Справка КС-3: дата</t>
  </si>
  <si>
    <t xml:space="preserve">Счёт: номер</t>
  </si>
  <si>
    <t xml:space="preserve">118</t>
  </si>
  <si>
    <t xml:space="preserve">Счёт: дата</t>
  </si>
  <si>
    <t xml:space="preserve">Сопроводительное письмо: исх. №</t>
  </si>
  <si>
    <t xml:space="preserve">245</t>
  </si>
  <si>
    <t xml:space="preserve">Сопроводительное письмо: дата</t>
  </si>
  <si>
    <t xml:space="preserve">6. ЦЕНА ДОГОВОРА (контроль)</t>
  </si>
  <si>
    <t xml:space="preserve">Цена договора с НДС, руб. (расчёт — не менять)</t>
  </si>
  <si>
    <t xml:space="preserve">Цена договора прописью (обновите вручную при изменении цены)</t>
  </si>
  <si>
    <t xml:space="preserve">Одиннадцать миллионов семьсот шестьдесят две тысячи четыреста рублей 00 копеек</t>
  </si>
  <si>
    <t xml:space="preserve">№</t>
  </si>
  <si>
    <t xml:space="preserve">Наименование работ</t>
  </si>
  <si>
    <t xml:space="preserve">Ед. изм.</t>
  </si>
  <si>
    <t xml:space="preserve">Кол-во</t>
  </si>
  <si>
    <t xml:space="preserve">Цена за ед., руб. без НДС</t>
  </si>
  <si>
    <t xml:space="preserve">Стоимость, руб. без НДС</t>
  </si>
  <si>
    <t xml:space="preserve">Демонтаж существующего лифтового оборудования</t>
  </si>
  <si>
    <t xml:space="preserve">шт.</t>
  </si>
  <si>
    <t xml:space="preserve">Монтаж направляющих кабины и противовеса</t>
  </si>
  <si>
    <t xml:space="preserve">компл.</t>
  </si>
  <si>
    <t xml:space="preserve">Монтаж лебёдки и рамы главного привода</t>
  </si>
  <si>
    <t xml:space="preserve">Монтаж кабины лифта</t>
  </si>
  <si>
    <t xml:space="preserve">Монтаж противовеса</t>
  </si>
  <si>
    <t xml:space="preserve">Монтаж дверей шахты</t>
  </si>
  <si>
    <t xml:space="preserve">Электромонтажные работы (станция управления, освещение и разводка по шахте)</t>
  </si>
  <si>
    <t xml:space="preserve">Монтаж обрамлений дверных проёмов</t>
  </si>
  <si>
    <t xml:space="preserve">Пусконаладочные работы</t>
  </si>
  <si>
    <t xml:space="preserve">Полное техническое освидетельствование и сдача лифтов в эксплуатацию</t>
  </si>
  <si>
    <t xml:space="preserve">Итого без НДС</t>
  </si>
  <si>
    <t xml:space="preserve">Всего с НДС</t>
  </si>
  <si>
    <t xml:space="preserve">Жёлтые ячейки — редактируемые данные сметы. При добавлении строк вставляйте их ВНУТРЬ таблицы (между первой и последней позицией) и добавляйте зеркальную строку в акт КС-2.</t>
  </si>
  <si>
    <t xml:space="preserve">Наименование оборудования / материалов</t>
  </si>
  <si>
    <t xml:space="preserve">Лифт пассажирский, г/п 630 кг, скорость 1,0 м/с, 9 остановок (комплект поставки завода-изготовителя)</t>
  </si>
  <si>
    <t xml:space="preserve">Обрамление дверного портала из нержавеющей стали</t>
  </si>
  <si>
    <t xml:space="preserve">Кабельная продукция (силовые и слаботочные линии, комплект на шахту)</t>
  </si>
  <si>
    <t xml:space="preserve">Металлоконструкции для крепления направляющих</t>
  </si>
  <si>
    <t xml:space="preserve">Крепёжные изделия и расходные материалы</t>
  </si>
  <si>
    <t xml:space="preserve">Светильники освещения шахты</t>
  </si>
  <si>
    <t xml:space="preserve">Наименование</t>
  </si>
  <si>
    <t xml:space="preserve">Стоимость без НДС, руб.</t>
  </si>
  <si>
    <t xml:space="preserve">Стоимость с НДС, руб.</t>
  </si>
  <si>
    <t xml:space="preserve">Строительно-монтажные и пусконаладочные работы (лист «Смета»)</t>
  </si>
  <si>
    <t xml:space="preserve">Лифтовое оборудование и материалы (лист «Спецификация»)</t>
  </si>
  <si>
    <t xml:space="preserve">ИТОГО</t>
  </si>
  <si>
    <t xml:space="preserve">Унифицированная форма № КС-2</t>
  </si>
  <si>
    <t xml:space="preserve">№ п/п</t>
  </si>
  <si>
    <t xml:space="preserve">№ поз. по смете</t>
  </si>
  <si>
    <t xml:space="preserve">Цена за ед., руб.</t>
  </si>
  <si>
    <t xml:space="preserve">Всего с НДС, справочно</t>
  </si>
  <si>
    <t xml:space="preserve">Унифицированная форма № КС-3</t>
  </si>
  <si>
    <t xml:space="preserve">Наименование работ и затрат</t>
  </si>
  <si>
    <t xml:space="preserve">С начала проведения работ, руб.</t>
  </si>
  <si>
    <t xml:space="preserve">С начала года, руб.</t>
  </si>
  <si>
    <t xml:space="preserve">В том числе за отчётный период, руб.</t>
  </si>
  <si>
    <t xml:space="preserve">Итого</t>
  </si>
  <si>
    <t xml:space="preserve">Всего с учётом НДС</t>
  </si>
  <si>
    <t xml:space="preserve">К/с</t>
  </si>
  <si>
    <t xml:space="preserve">Р/с</t>
  </si>
  <si>
    <t xml:space="preserve">Наименование работ (услуг), товаров</t>
  </si>
  <si>
    <t xml:space="preserve">Цена, руб. без НДС</t>
  </si>
  <si>
    <t xml:space="preserve">Сумма, руб. без НДС</t>
  </si>
  <si>
    <t xml:space="preserve">Всего к оплате с НДС</t>
  </si>
  <si>
    <t xml:space="preserve">Приложения:</t>
  </si>
  <si>
    <t xml:space="preserve">1. ПРЕДМЕТ ДОГОВОРА</t>
  </si>
  <si>
    <t xml:space="preserve">2. ЦЕНА ДОГОВОРА И ПОРЯДОК РАСЧЁТОВ</t>
  </si>
  <si>
    <t xml:space="preserve">3. СРОКИ ВЫПОЛНЕНИЯ РАБОТ</t>
  </si>
  <si>
    <t xml:space="preserve">4. ОБЯЗАННОСТИ СТОРОН</t>
  </si>
  <si>
    <t xml:space="preserve">5. ПОРЯДОК СДАЧИ И ПРИЁМКИ РАБОТ</t>
  </si>
  <si>
    <t xml:space="preserve">6. ГАРАНТИИ КАЧЕСТВА</t>
  </si>
  <si>
    <t xml:space="preserve">7. ОТВЕТСТВЕННОСТЬ СТОРОН</t>
  </si>
  <si>
    <t xml:space="preserve">8. ПРОЧИЕ УСЛОВИЯ</t>
  </si>
  <si>
    <t xml:space="preserve">9. АДРЕСА И РЕКВИЗИТЫ СТОРОН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</si>
</sst>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0%"/>
    <numFmt numFmtId="167" formatCode="0"/>
    <numFmt numFmtId="168" formatCode="0.0%"/>
    <numFmt numFmtId="169" formatCode="#,##0.00"/>
    <numFmt numFmtId="170" formatCode="#,##0.##"/>
    <numFmt numFmtId="171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25.5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6" t="n">
        <v>46220</v>
      </c>
    </row>
    <row r="7" customFormat="false" ht="15" hidden="false" customHeight="false" outlineLevel="0" collapsed="false">
      <c r="A7" s="4" t="s">
        <v>6</v>
      </c>
      <c r="B7" s="5" t="s">
        <v>7</v>
      </c>
    </row>
    <row r="8" customFormat="false" ht="15" hidden="false" customHeight="false" outlineLevel="0" collapsed="false">
      <c r="A8" s="4" t="s">
        <v>8</v>
      </c>
      <c r="B8" s="6" t="n">
        <v>46235</v>
      </c>
    </row>
    <row r="9" customFormat="false" ht="15" hidden="false" customHeight="false" outlineLevel="0" collapsed="false">
      <c r="A9" s="4" t="s">
        <v>9</v>
      </c>
      <c r="B9" s="6" t="n">
        <v>46356</v>
      </c>
    </row>
    <row r="10" customFormat="false" ht="15" hidden="false" customHeight="false" outlineLevel="0" collapsed="false">
      <c r="A10" s="4" t="s">
        <v>10</v>
      </c>
      <c r="B10" s="7" t="n">
        <v>0.3</v>
      </c>
    </row>
    <row r="11" customFormat="false" ht="15" hidden="false" customHeight="false" outlineLevel="0" collapsed="false">
      <c r="A11" s="4" t="s">
        <v>11</v>
      </c>
      <c r="B11" s="8" t="n">
        <v>24</v>
      </c>
    </row>
    <row r="12" customFormat="false" ht="15" hidden="false" customHeight="false" outlineLevel="0" collapsed="false">
      <c r="A12" s="4" t="s">
        <v>12</v>
      </c>
      <c r="B12" s="7" t="n">
        <v>0.2</v>
      </c>
    </row>
    <row r="13" customFormat="false" ht="15" hidden="false" customHeight="false" outlineLevel="0" collapsed="false">
      <c r="A13" s="4" t="s">
        <v>13</v>
      </c>
      <c r="B13" s="9" t="n">
        <v>0.001</v>
      </c>
    </row>
    <row r="15" customFormat="false" ht="15" hidden="false" customHeight="true" outlineLevel="0" collapsed="false">
      <c r="A15" s="3" t="s">
        <v>14</v>
      </c>
      <c r="B15" s="3"/>
      <c r="C15" s="3"/>
    </row>
    <row r="16" customFormat="false" ht="23.85" hidden="false" customHeight="false" outlineLevel="0" collapsed="false">
      <c r="A16" s="4" t="s">
        <v>15</v>
      </c>
      <c r="B16" s="5" t="s">
        <v>16</v>
      </c>
    </row>
    <row r="17" customFormat="false" ht="15" hidden="false" customHeight="false" outlineLevel="0" collapsed="false">
      <c r="A17" s="4" t="s">
        <v>17</v>
      </c>
      <c r="B17" s="5" t="s">
        <v>18</v>
      </c>
    </row>
    <row r="18" customFormat="false" ht="15" hidden="false" customHeight="false" outlineLevel="0" collapsed="false">
      <c r="A18" s="4" t="s">
        <v>19</v>
      </c>
      <c r="B18" s="5" t="s">
        <v>20</v>
      </c>
    </row>
    <row r="19" customFormat="false" ht="15" hidden="false" customHeight="false" outlineLevel="0" collapsed="false">
      <c r="A19" s="4" t="s">
        <v>21</v>
      </c>
      <c r="B19" s="5" t="s">
        <v>22</v>
      </c>
    </row>
    <row r="20" customFormat="false" ht="15" hidden="false" customHeight="false" outlineLevel="0" collapsed="false">
      <c r="A20" s="4" t="s">
        <v>23</v>
      </c>
      <c r="B20" s="5" t="s">
        <v>24</v>
      </c>
    </row>
    <row r="21" customFormat="false" ht="15" hidden="false" customHeight="false" outlineLevel="0" collapsed="false">
      <c r="A21" s="4" t="s">
        <v>25</v>
      </c>
      <c r="B21" s="5" t="s">
        <v>26</v>
      </c>
    </row>
    <row r="22" customFormat="false" ht="15" hidden="false" customHeight="false" outlineLevel="0" collapsed="false">
      <c r="A22" s="4" t="s">
        <v>27</v>
      </c>
      <c r="B22" s="5" t="s">
        <v>28</v>
      </c>
    </row>
    <row r="23" customFormat="false" ht="15" hidden="false" customHeight="false" outlineLevel="0" collapsed="false">
      <c r="A23" s="4" t="s">
        <v>29</v>
      </c>
      <c r="B23" s="5" t="s">
        <v>30</v>
      </c>
    </row>
    <row r="24" customFormat="false" ht="15" hidden="false" customHeight="false" outlineLevel="0" collapsed="false">
      <c r="A24" s="4" t="s">
        <v>31</v>
      </c>
      <c r="B24" s="5" t="s">
        <v>32</v>
      </c>
    </row>
    <row r="25" customFormat="false" ht="15" hidden="false" customHeight="false" outlineLevel="0" collapsed="false">
      <c r="A25" s="4" t="s">
        <v>33</v>
      </c>
      <c r="B25" s="5" t="s">
        <v>34</v>
      </c>
    </row>
    <row r="26" customFormat="false" ht="15" hidden="false" customHeight="false" outlineLevel="0" collapsed="false">
      <c r="A26" s="4" t="s">
        <v>35</v>
      </c>
      <c r="B26" s="5" t="s">
        <v>36</v>
      </c>
    </row>
    <row r="27" customFormat="false" ht="15" hidden="false" customHeight="false" outlineLevel="0" collapsed="false">
      <c r="A27" s="4" t="s">
        <v>37</v>
      </c>
      <c r="B27" s="5" t="s">
        <v>38</v>
      </c>
    </row>
    <row r="28" customFormat="false" ht="15" hidden="false" customHeight="false" outlineLevel="0" collapsed="false">
      <c r="A28" s="4" t="s">
        <v>39</v>
      </c>
      <c r="B28" s="5" t="s">
        <v>40</v>
      </c>
    </row>
    <row r="29" customFormat="false" ht="15" hidden="false" customHeight="false" outlineLevel="0" collapsed="false">
      <c r="A29" s="4" t="s">
        <v>41</v>
      </c>
      <c r="B29" s="5" t="s">
        <v>42</v>
      </c>
    </row>
    <row r="30" customFormat="false" ht="15" hidden="false" customHeight="false" outlineLevel="0" collapsed="false">
      <c r="A30" s="4" t="s">
        <v>43</v>
      </c>
      <c r="B30" s="5" t="s">
        <v>44</v>
      </c>
    </row>
    <row r="31" customFormat="false" ht="15" hidden="false" customHeight="false" outlineLevel="0" collapsed="false">
      <c r="A31" s="4" t="s">
        <v>45</v>
      </c>
      <c r="B31" s="5" t="s">
        <v>46</v>
      </c>
    </row>
    <row r="32" customFormat="false" ht="15" hidden="false" customHeight="false" outlineLevel="0" collapsed="false">
      <c r="A32" s="4" t="s">
        <v>47</v>
      </c>
      <c r="B32" s="5" t="s">
        <v>48</v>
      </c>
    </row>
    <row r="33" customFormat="false" ht="15" hidden="false" customHeight="false" outlineLevel="0" collapsed="false">
      <c r="A33" s="4" t="s">
        <v>49</v>
      </c>
      <c r="B33" s="5" t="s">
        <v>50</v>
      </c>
    </row>
    <row r="34" customFormat="false" ht="15" hidden="false" customHeight="false" outlineLevel="0" collapsed="false">
      <c r="A34" s="4" t="s">
        <v>51</v>
      </c>
      <c r="B34" s="5" t="s">
        <v>52</v>
      </c>
    </row>
    <row r="35" customFormat="false" ht="15" hidden="false" customHeight="false" outlineLevel="0" collapsed="false">
      <c r="A35" s="4" t="s">
        <v>53</v>
      </c>
      <c r="B35" s="5" t="s">
        <v>54</v>
      </c>
    </row>
    <row r="36" customFormat="false" ht="15" hidden="false" customHeight="false" outlineLevel="0" collapsed="false">
      <c r="A36" s="4" t="s">
        <v>55</v>
      </c>
      <c r="B36" s="5" t="s">
        <v>56</v>
      </c>
    </row>
    <row r="38" customFormat="false" ht="15" hidden="false" customHeight="true" outlineLevel="0" collapsed="false">
      <c r="A38" s="3" t="s">
        <v>57</v>
      </c>
      <c r="B38" s="3"/>
      <c r="C38" s="3"/>
    </row>
    <row r="39" customFormat="false" ht="15" hidden="false" customHeight="false" outlineLevel="0" collapsed="false">
      <c r="A39" s="4" t="s">
        <v>15</v>
      </c>
      <c r="B39" s="5" t="s">
        <v>58</v>
      </c>
    </row>
    <row r="40" customFormat="false" ht="15" hidden="false" customHeight="false" outlineLevel="0" collapsed="false">
      <c r="A40" s="4" t="s">
        <v>17</v>
      </c>
      <c r="B40" s="5" t="s">
        <v>59</v>
      </c>
    </row>
    <row r="41" customFormat="false" ht="15" hidden="false" customHeight="false" outlineLevel="0" collapsed="false">
      <c r="A41" s="4" t="s">
        <v>19</v>
      </c>
      <c r="B41" s="5" t="s">
        <v>60</v>
      </c>
    </row>
    <row r="42" customFormat="false" ht="15" hidden="false" customHeight="false" outlineLevel="0" collapsed="false">
      <c r="A42" s="4" t="s">
        <v>21</v>
      </c>
      <c r="B42" s="5" t="s">
        <v>61</v>
      </c>
    </row>
    <row r="43" customFormat="false" ht="15" hidden="false" customHeight="false" outlineLevel="0" collapsed="false">
      <c r="A43" s="4" t="s">
        <v>23</v>
      </c>
      <c r="B43" s="5" t="s">
        <v>62</v>
      </c>
    </row>
    <row r="44" customFormat="false" ht="15" hidden="false" customHeight="false" outlineLevel="0" collapsed="false">
      <c r="A44" s="4" t="s">
        <v>25</v>
      </c>
      <c r="B44" s="5" t="s">
        <v>63</v>
      </c>
    </row>
    <row r="45" customFormat="false" ht="15" hidden="false" customHeight="false" outlineLevel="0" collapsed="false">
      <c r="A45" s="4" t="s">
        <v>27</v>
      </c>
      <c r="B45" s="5" t="s">
        <v>64</v>
      </c>
    </row>
    <row r="46" customFormat="false" ht="15" hidden="false" customHeight="false" outlineLevel="0" collapsed="false">
      <c r="A46" s="4" t="s">
        <v>29</v>
      </c>
      <c r="B46" s="5" t="s">
        <v>65</v>
      </c>
    </row>
    <row r="47" customFormat="false" ht="15" hidden="false" customHeight="false" outlineLevel="0" collapsed="false">
      <c r="A47" s="4" t="s">
        <v>31</v>
      </c>
      <c r="B47" s="5" t="s">
        <v>66</v>
      </c>
    </row>
    <row r="48" customFormat="false" ht="15" hidden="false" customHeight="false" outlineLevel="0" collapsed="false">
      <c r="A48" s="4" t="s">
        <v>33</v>
      </c>
      <c r="B48" s="5" t="s">
        <v>67</v>
      </c>
    </row>
    <row r="49" customFormat="false" ht="15" hidden="false" customHeight="false" outlineLevel="0" collapsed="false">
      <c r="A49" s="4" t="s">
        <v>35</v>
      </c>
      <c r="B49" s="5" t="s">
        <v>36</v>
      </c>
    </row>
    <row r="50" customFormat="false" ht="15" hidden="false" customHeight="false" outlineLevel="0" collapsed="false">
      <c r="A50" s="4" t="s">
        <v>37</v>
      </c>
      <c r="B50" s="5" t="s">
        <v>68</v>
      </c>
    </row>
    <row r="51" customFormat="false" ht="15" hidden="false" customHeight="false" outlineLevel="0" collapsed="false">
      <c r="A51" s="4" t="s">
        <v>39</v>
      </c>
      <c r="B51" s="5" t="s">
        <v>69</v>
      </c>
    </row>
    <row r="52" customFormat="false" ht="15" hidden="false" customHeight="false" outlineLevel="0" collapsed="false">
      <c r="A52" s="4" t="s">
        <v>41</v>
      </c>
      <c r="B52" s="5" t="s">
        <v>42</v>
      </c>
    </row>
    <row r="53" customFormat="false" ht="15" hidden="false" customHeight="false" outlineLevel="0" collapsed="false">
      <c r="A53" s="4" t="s">
        <v>43</v>
      </c>
      <c r="B53" s="5" t="s">
        <v>44</v>
      </c>
    </row>
    <row r="54" customFormat="false" ht="15" hidden="false" customHeight="false" outlineLevel="0" collapsed="false">
      <c r="A54" s="4" t="s">
        <v>45</v>
      </c>
      <c r="B54" s="5" t="s">
        <v>70</v>
      </c>
    </row>
    <row r="55" customFormat="false" ht="15" hidden="false" customHeight="false" outlineLevel="0" collapsed="false">
      <c r="A55" s="4" t="s">
        <v>71</v>
      </c>
      <c r="B55" s="5" t="s">
        <v>72</v>
      </c>
    </row>
    <row r="56" customFormat="false" ht="15" hidden="false" customHeight="false" outlineLevel="0" collapsed="false">
      <c r="A56" s="4" t="s">
        <v>53</v>
      </c>
      <c r="B56" s="5" t="s">
        <v>73</v>
      </c>
    </row>
    <row r="57" customFormat="false" ht="15" hidden="false" customHeight="false" outlineLevel="0" collapsed="false">
      <c r="A57" s="4" t="s">
        <v>55</v>
      </c>
      <c r="B57" s="5" t="s">
        <v>74</v>
      </c>
    </row>
    <row r="59" customFormat="false" ht="15" hidden="false" customHeight="true" outlineLevel="0" collapsed="false">
      <c r="A59" s="3" t="s">
        <v>75</v>
      </c>
      <c r="B59" s="3"/>
      <c r="C59" s="3"/>
    </row>
    <row r="60" customFormat="false" ht="15" hidden="false" customHeight="false" outlineLevel="0" collapsed="false">
      <c r="A60" s="4" t="s">
        <v>76</v>
      </c>
      <c r="B60" s="5" t="s">
        <v>77</v>
      </c>
    </row>
    <row r="61" customFormat="false" ht="15" hidden="false" customHeight="false" outlineLevel="0" collapsed="false">
      <c r="A61" s="4" t="s">
        <v>78</v>
      </c>
      <c r="B61" s="5" t="s">
        <v>79</v>
      </c>
    </row>
    <row r="62" customFormat="false" ht="15" hidden="false" customHeight="false" outlineLevel="0" collapsed="false">
      <c r="A62" s="4" t="s">
        <v>80</v>
      </c>
      <c r="B62" s="8" t="n">
        <v>2</v>
      </c>
    </row>
    <row r="63" customFormat="false" ht="15" hidden="false" customHeight="false" outlineLevel="0" collapsed="false">
      <c r="A63" s="4" t="s">
        <v>81</v>
      </c>
      <c r="B63" s="5" t="s">
        <v>82</v>
      </c>
    </row>
    <row r="65" customFormat="false" ht="15" hidden="false" customHeight="true" outlineLevel="0" collapsed="false">
      <c r="A65" s="3" t="s">
        <v>83</v>
      </c>
      <c r="B65" s="3"/>
      <c r="C65" s="3"/>
    </row>
    <row r="66" customFormat="false" ht="15" hidden="false" customHeight="false" outlineLevel="0" collapsed="false">
      <c r="A66" s="4" t="s">
        <v>84</v>
      </c>
      <c r="B66" s="5" t="s">
        <v>85</v>
      </c>
    </row>
    <row r="67" customFormat="false" ht="15" hidden="false" customHeight="false" outlineLevel="0" collapsed="false">
      <c r="A67" s="4" t="s">
        <v>86</v>
      </c>
      <c r="B67" s="6" t="n">
        <v>46220</v>
      </c>
    </row>
    <row r="68" customFormat="false" ht="15" hidden="false" customHeight="false" outlineLevel="0" collapsed="false">
      <c r="A68" s="4" t="s">
        <v>87</v>
      </c>
      <c r="B68" s="5" t="s">
        <v>88</v>
      </c>
    </row>
    <row r="69" customFormat="false" ht="15" hidden="false" customHeight="false" outlineLevel="0" collapsed="false">
      <c r="A69" s="4" t="s">
        <v>89</v>
      </c>
      <c r="B69" s="6" t="n">
        <v>46356</v>
      </c>
    </row>
    <row r="70" customFormat="false" ht="15" hidden="false" customHeight="false" outlineLevel="0" collapsed="false">
      <c r="A70" s="4" t="s">
        <v>90</v>
      </c>
      <c r="B70" s="6" t="n">
        <v>46235</v>
      </c>
    </row>
    <row r="71" customFormat="false" ht="15" hidden="false" customHeight="false" outlineLevel="0" collapsed="false">
      <c r="A71" s="4" t="s">
        <v>91</v>
      </c>
      <c r="B71" s="6" t="n">
        <v>46356</v>
      </c>
    </row>
    <row r="72" customFormat="false" ht="15" hidden="false" customHeight="false" outlineLevel="0" collapsed="false">
      <c r="A72" s="4" t="s">
        <v>92</v>
      </c>
      <c r="B72" s="5" t="s">
        <v>88</v>
      </c>
    </row>
    <row r="73" customFormat="false" ht="15" hidden="false" customHeight="false" outlineLevel="0" collapsed="false">
      <c r="A73" s="4" t="s">
        <v>93</v>
      </c>
      <c r="B73" s="6" t="n">
        <v>46356</v>
      </c>
    </row>
    <row r="74" customFormat="false" ht="15" hidden="false" customHeight="false" outlineLevel="0" collapsed="false">
      <c r="A74" s="4" t="s">
        <v>94</v>
      </c>
      <c r="B74" s="5" t="s">
        <v>95</v>
      </c>
    </row>
    <row r="75" customFormat="false" ht="15" hidden="false" customHeight="false" outlineLevel="0" collapsed="false">
      <c r="A75" s="4" t="s">
        <v>96</v>
      </c>
      <c r="B75" s="6" t="n">
        <v>46356</v>
      </c>
    </row>
    <row r="76" customFormat="false" ht="15" hidden="false" customHeight="false" outlineLevel="0" collapsed="false">
      <c r="A76" s="4" t="s">
        <v>97</v>
      </c>
      <c r="B76" s="5" t="s">
        <v>98</v>
      </c>
    </row>
    <row r="77" customFormat="false" ht="15" hidden="false" customHeight="false" outlineLevel="0" collapsed="false">
      <c r="A77" s="4" t="s">
        <v>99</v>
      </c>
      <c r="B77" s="6" t="n">
        <v>46357</v>
      </c>
    </row>
    <row r="79" customFormat="false" ht="15" hidden="false" customHeight="true" outlineLevel="0" collapsed="false">
      <c r="A79" s="3" t="s">
        <v>100</v>
      </c>
      <c r="B79" s="3"/>
      <c r="C79" s="3"/>
    </row>
    <row r="80" customFormat="false" ht="15" hidden="false" customHeight="false" outlineLevel="0" collapsed="false">
      <c r="A80" s="4" t="s">
        <v>101</v>
      </c>
      <c r="B80" s="10" t="n">
        <f aca="false">КП!E14</f>
        <v>11762400</v>
      </c>
    </row>
    <row r="81" customFormat="false" ht="23.85" hidden="false" customHeight="false" outlineLevel="0" collapsed="false">
      <c r="A81" s="4" t="s">
        <v>102</v>
      </c>
      <c r="B81" s="5" t="s">
        <v>103</v>
      </c>
    </row>
  </sheetData>
  <mergeCells count="8">
    <mergeCell ref="A1:C1"/>
    <mergeCell ref="A2:C2"/>
    <mergeCell ref="A4:C4"/>
    <mergeCell ref="A15:C15"/>
    <mergeCell ref="A38:C38"/>
    <mergeCell ref="A59:C59"/>
    <mergeCell ref="A65:C65"/>
    <mergeCell ref="A79:C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tr">
        <f aca="false">"ЛОКАЛЬНАЯ СМЕТА № 1 к договору подряда № "&amp;Параметры!$B$5&amp;" от "&amp;TEXT(Параметры!$B$6,"DD.MM.YYYY")</f>
        <v>ЛОКАЛЬНАЯ СМЕТА № 1 к договору подряда № ПД-14/2026 от 17.07.2026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2" t="str">
        <f aca="false">"Объект: "&amp;Параметры!$B$60&amp;", "&amp;Параметры!$B$61</f>
        <v>Объект: Многоквартирный жилой дом, корпус 3, г. Москва, ул. Полярная, д. 25, корп. 3</v>
      </c>
      <c r="B2" s="12"/>
      <c r="C2" s="12"/>
      <c r="D2" s="12"/>
      <c r="E2" s="12"/>
      <c r="F2" s="12"/>
    </row>
    <row r="4" customFormat="false" ht="23.85" hidden="false" customHeight="false" outlineLevel="0" collapsed="false">
      <c r="A4" s="13" t="s">
        <v>104</v>
      </c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</row>
    <row r="5" customFormat="false" ht="15" hidden="false" customHeight="false" outlineLevel="0" collapsed="false">
      <c r="A5" s="14" t="n">
        <v>1</v>
      </c>
      <c r="B5" s="5" t="s">
        <v>110</v>
      </c>
      <c r="C5" s="15" t="s">
        <v>111</v>
      </c>
      <c r="D5" s="16" t="n">
        <v>2</v>
      </c>
      <c r="E5" s="17" t="n">
        <v>180000</v>
      </c>
      <c r="F5" s="18" t="n">
        <f aca="false">D5*E5</f>
        <v>360000</v>
      </c>
    </row>
    <row r="6" customFormat="false" ht="15" hidden="false" customHeight="false" outlineLevel="0" collapsed="false">
      <c r="A6" s="14" t="n">
        <v>2</v>
      </c>
      <c r="B6" s="5" t="s">
        <v>112</v>
      </c>
      <c r="C6" s="15" t="s">
        <v>113</v>
      </c>
      <c r="D6" s="16" t="n">
        <v>2</v>
      </c>
      <c r="E6" s="17" t="n">
        <v>220000</v>
      </c>
      <c r="F6" s="18" t="n">
        <f aca="false">D6*E6</f>
        <v>440000</v>
      </c>
    </row>
    <row r="7" customFormat="false" ht="15" hidden="false" customHeight="false" outlineLevel="0" collapsed="false">
      <c r="A7" s="14" t="n">
        <v>3</v>
      </c>
      <c r="B7" s="5" t="s">
        <v>114</v>
      </c>
      <c r="C7" s="15" t="s">
        <v>111</v>
      </c>
      <c r="D7" s="16" t="n">
        <v>2</v>
      </c>
      <c r="E7" s="17" t="n">
        <v>150000</v>
      </c>
      <c r="F7" s="18" t="n">
        <f aca="false">D7*E7</f>
        <v>300000</v>
      </c>
    </row>
    <row r="8" customFormat="false" ht="15" hidden="false" customHeight="false" outlineLevel="0" collapsed="false">
      <c r="A8" s="14" t="n">
        <v>4</v>
      </c>
      <c r="B8" s="5" t="s">
        <v>115</v>
      </c>
      <c r="C8" s="15" t="s">
        <v>111</v>
      </c>
      <c r="D8" s="16" t="n">
        <v>2</v>
      </c>
      <c r="E8" s="17" t="n">
        <v>260000</v>
      </c>
      <c r="F8" s="18" t="n">
        <f aca="false">D8*E8</f>
        <v>520000</v>
      </c>
    </row>
    <row r="9" customFormat="false" ht="15" hidden="false" customHeight="false" outlineLevel="0" collapsed="false">
      <c r="A9" s="14" t="n">
        <v>5</v>
      </c>
      <c r="B9" s="5" t="s">
        <v>116</v>
      </c>
      <c r="C9" s="15" t="s">
        <v>111</v>
      </c>
      <c r="D9" s="16" t="n">
        <v>2</v>
      </c>
      <c r="E9" s="17" t="n">
        <v>90000</v>
      </c>
      <c r="F9" s="18" t="n">
        <f aca="false">D9*E9</f>
        <v>180000</v>
      </c>
    </row>
    <row r="10" customFormat="false" ht="15" hidden="false" customHeight="false" outlineLevel="0" collapsed="false">
      <c r="A10" s="14" t="n">
        <v>6</v>
      </c>
      <c r="B10" s="5" t="s">
        <v>117</v>
      </c>
      <c r="C10" s="15" t="s">
        <v>111</v>
      </c>
      <c r="D10" s="16" t="n">
        <v>18</v>
      </c>
      <c r="E10" s="17" t="n">
        <v>25000</v>
      </c>
      <c r="F10" s="18" t="n">
        <f aca="false">D10*E10</f>
        <v>450000</v>
      </c>
    </row>
    <row r="11" customFormat="false" ht="15" hidden="false" customHeight="false" outlineLevel="0" collapsed="false">
      <c r="A11" s="14" t="n">
        <v>7</v>
      </c>
      <c r="B11" s="5" t="s">
        <v>118</v>
      </c>
      <c r="C11" s="15" t="s">
        <v>113</v>
      </c>
      <c r="D11" s="16" t="n">
        <v>2</v>
      </c>
      <c r="E11" s="17" t="n">
        <v>190000</v>
      </c>
      <c r="F11" s="18" t="n">
        <f aca="false">D11*E11</f>
        <v>380000</v>
      </c>
    </row>
    <row r="12" customFormat="false" ht="15" hidden="false" customHeight="false" outlineLevel="0" collapsed="false">
      <c r="A12" s="14" t="n">
        <v>8</v>
      </c>
      <c r="B12" s="5" t="s">
        <v>119</v>
      </c>
      <c r="C12" s="15" t="s">
        <v>111</v>
      </c>
      <c r="D12" s="16" t="n">
        <v>18</v>
      </c>
      <c r="E12" s="17" t="n">
        <v>12000</v>
      </c>
      <c r="F12" s="18" t="n">
        <f aca="false">D12*E12</f>
        <v>216000</v>
      </c>
    </row>
    <row r="13" customFormat="false" ht="15" hidden="false" customHeight="false" outlineLevel="0" collapsed="false">
      <c r="A13" s="14" t="n">
        <v>9</v>
      </c>
      <c r="B13" s="5" t="s">
        <v>120</v>
      </c>
      <c r="C13" s="15" t="s">
        <v>113</v>
      </c>
      <c r="D13" s="16" t="n">
        <v>2</v>
      </c>
      <c r="E13" s="17" t="n">
        <v>160000</v>
      </c>
      <c r="F13" s="18" t="n">
        <f aca="false">D13*E13</f>
        <v>320000</v>
      </c>
    </row>
    <row r="14" customFormat="false" ht="15" hidden="false" customHeight="false" outlineLevel="0" collapsed="false">
      <c r="A14" s="14" t="n">
        <v>10</v>
      </c>
      <c r="B14" s="5" t="s">
        <v>121</v>
      </c>
      <c r="C14" s="15" t="s">
        <v>113</v>
      </c>
      <c r="D14" s="16" t="n">
        <v>2</v>
      </c>
      <c r="E14" s="17" t="n">
        <v>85000</v>
      </c>
      <c r="F14" s="18" t="n">
        <f aca="false">D14*E14</f>
        <v>170000</v>
      </c>
    </row>
    <row r="15" customFormat="false" ht="15" hidden="false" customHeight="false" outlineLevel="0" collapsed="false">
      <c r="A15" s="19" t="s">
        <v>122</v>
      </c>
      <c r="B15" s="19"/>
      <c r="C15" s="19"/>
      <c r="D15" s="19"/>
      <c r="E15" s="19"/>
      <c r="F15" s="20" t="n">
        <f aca="false">SUM(F5:F14)</f>
        <v>3336000</v>
      </c>
    </row>
    <row r="16" customFormat="false" ht="15" hidden="false" customHeight="false" outlineLevel="0" collapsed="false">
      <c r="A16" s="19" t="str">
        <f aca="false">"НДС ("&amp;TEXT(Параметры!$B$12,"0%")&amp;")"</f>
        <v>НДС (20%)</v>
      </c>
      <c r="B16" s="19"/>
      <c r="C16" s="19"/>
      <c r="D16" s="19"/>
      <c r="E16" s="19"/>
      <c r="F16" s="20" t="n">
        <f aca="false">F15*Параметры!$B$12</f>
        <v>667200</v>
      </c>
    </row>
    <row r="17" customFormat="false" ht="15" hidden="false" customHeight="false" outlineLevel="0" collapsed="false">
      <c r="A17" s="19" t="s">
        <v>123</v>
      </c>
      <c r="B17" s="19"/>
      <c r="C17" s="19"/>
      <c r="D17" s="19"/>
      <c r="E17" s="19"/>
      <c r="F17" s="20" t="n">
        <f aca="false">F15+F16</f>
        <v>4003200</v>
      </c>
    </row>
    <row r="19" customFormat="false" ht="25.5" hidden="false" customHeight="true" outlineLevel="0" collapsed="false">
      <c r="A19" s="21" t="s">
        <v>124</v>
      </c>
      <c r="B19" s="21"/>
      <c r="C19" s="21"/>
      <c r="D19" s="21"/>
      <c r="E19" s="21"/>
      <c r="F19" s="21"/>
    </row>
  </sheetData>
  <mergeCells count="6">
    <mergeCell ref="A1:F1"/>
    <mergeCell ref="A2:F2"/>
    <mergeCell ref="A15:E15"/>
    <mergeCell ref="A16:E16"/>
    <mergeCell ref="A17:E17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tr">
        <f aca="false">"СПЕЦИФИКАЦИЯ № 1 (оборудование и материалы) к договору подряда № "&amp;Параметры!$B$5&amp;" от "&amp;TEXT(Параметры!$B$6,"DD.MM.YYYY")</f>
        <v>СПЕЦИФИКАЦИЯ № 1 (оборудование и материалы) к договору подряда № ПД-14/2026 от 17.07.2026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2" t="str">
        <f aca="false">"Объект: "&amp;Параметры!$B$60&amp;", "&amp;Параметры!$B$61</f>
        <v>Объект: Многоквартирный жилой дом, корпус 3, г. Москва, ул. Полярная, д. 25, корп. 3</v>
      </c>
      <c r="B2" s="12"/>
      <c r="C2" s="12"/>
      <c r="D2" s="12"/>
      <c r="E2" s="12"/>
      <c r="F2" s="12"/>
    </row>
    <row r="4" customFormat="false" ht="23.85" hidden="false" customHeight="false" outlineLevel="0" collapsed="false">
      <c r="A4" s="13" t="s">
        <v>104</v>
      </c>
      <c r="B4" s="13" t="s">
        <v>125</v>
      </c>
      <c r="C4" s="13" t="s">
        <v>106</v>
      </c>
      <c r="D4" s="13" t="s">
        <v>107</v>
      </c>
      <c r="E4" s="13" t="s">
        <v>108</v>
      </c>
      <c r="F4" s="13" t="s">
        <v>109</v>
      </c>
    </row>
    <row r="5" customFormat="false" ht="23.85" hidden="false" customHeight="false" outlineLevel="0" collapsed="false">
      <c r="A5" s="14" t="n">
        <v>1</v>
      </c>
      <c r="B5" s="5" t="s">
        <v>126</v>
      </c>
      <c r="C5" s="15" t="s">
        <v>111</v>
      </c>
      <c r="D5" s="16" t="n">
        <v>2</v>
      </c>
      <c r="E5" s="17" t="n">
        <v>2950000</v>
      </c>
      <c r="F5" s="18" t="n">
        <f aca="false">D5*E5</f>
        <v>5900000</v>
      </c>
    </row>
    <row r="6" customFormat="false" ht="15" hidden="false" customHeight="false" outlineLevel="0" collapsed="false">
      <c r="A6" s="14" t="n">
        <v>2</v>
      </c>
      <c r="B6" s="5" t="s">
        <v>127</v>
      </c>
      <c r="C6" s="15" t="s">
        <v>113</v>
      </c>
      <c r="D6" s="16" t="n">
        <v>18</v>
      </c>
      <c r="E6" s="17" t="n">
        <v>15000</v>
      </c>
      <c r="F6" s="18" t="n">
        <f aca="false">D6*E6</f>
        <v>270000</v>
      </c>
    </row>
    <row r="7" customFormat="false" ht="15" hidden="false" customHeight="false" outlineLevel="0" collapsed="false">
      <c r="A7" s="14" t="n">
        <v>3</v>
      </c>
      <c r="B7" s="5" t="s">
        <v>128</v>
      </c>
      <c r="C7" s="15" t="s">
        <v>113</v>
      </c>
      <c r="D7" s="16" t="n">
        <v>2</v>
      </c>
      <c r="E7" s="17" t="n">
        <v>45000</v>
      </c>
      <c r="F7" s="18" t="n">
        <f aca="false">D7*E7</f>
        <v>90000</v>
      </c>
    </row>
    <row r="8" customFormat="false" ht="15" hidden="false" customHeight="false" outlineLevel="0" collapsed="false">
      <c r="A8" s="14" t="n">
        <v>4</v>
      </c>
      <c r="B8" s="5" t="s">
        <v>129</v>
      </c>
      <c r="C8" s="15" t="s">
        <v>113</v>
      </c>
      <c r="D8" s="16" t="n">
        <v>2</v>
      </c>
      <c r="E8" s="17" t="n">
        <v>60000</v>
      </c>
      <c r="F8" s="18" t="n">
        <f aca="false">D8*E8</f>
        <v>120000</v>
      </c>
    </row>
    <row r="9" customFormat="false" ht="15" hidden="false" customHeight="false" outlineLevel="0" collapsed="false">
      <c r="A9" s="14" t="n">
        <v>5</v>
      </c>
      <c r="B9" s="5" t="s">
        <v>130</v>
      </c>
      <c r="C9" s="15" t="s">
        <v>113</v>
      </c>
      <c r="D9" s="16" t="n">
        <v>2</v>
      </c>
      <c r="E9" s="17" t="n">
        <v>25000</v>
      </c>
      <c r="F9" s="18" t="n">
        <f aca="false">D9*E9</f>
        <v>50000</v>
      </c>
    </row>
    <row r="10" customFormat="false" ht="15" hidden="false" customHeight="false" outlineLevel="0" collapsed="false">
      <c r="A10" s="14" t="n">
        <v>6</v>
      </c>
      <c r="B10" s="5" t="s">
        <v>131</v>
      </c>
      <c r="C10" s="15" t="s">
        <v>111</v>
      </c>
      <c r="D10" s="16" t="n">
        <v>20</v>
      </c>
      <c r="E10" s="17" t="n">
        <v>1800</v>
      </c>
      <c r="F10" s="18" t="n">
        <f aca="false">D10*E10</f>
        <v>36000</v>
      </c>
    </row>
    <row r="11" customFormat="false" ht="15" hidden="false" customHeight="false" outlineLevel="0" collapsed="false">
      <c r="A11" s="19" t="s">
        <v>122</v>
      </c>
      <c r="B11" s="19"/>
      <c r="C11" s="19"/>
      <c r="D11" s="19"/>
      <c r="E11" s="19"/>
      <c r="F11" s="20" t="n">
        <f aca="false">SUM(F5:F10)</f>
        <v>6466000</v>
      </c>
    </row>
    <row r="12" customFormat="false" ht="15" hidden="false" customHeight="false" outlineLevel="0" collapsed="false">
      <c r="A12" s="19" t="str">
        <f aca="false">"НДС ("&amp;TEXT(Параметры!$B$12,"0%")&amp;")"</f>
        <v>НДС (20%)</v>
      </c>
      <c r="B12" s="19"/>
      <c r="C12" s="19"/>
      <c r="D12" s="19"/>
      <c r="E12" s="19"/>
      <c r="F12" s="20" t="n">
        <f aca="false">F11*Параметры!$B$12</f>
        <v>1293200</v>
      </c>
    </row>
    <row r="13" customFormat="false" ht="15" hidden="false" customHeight="false" outlineLevel="0" collapsed="false">
      <c r="A13" s="19" t="s">
        <v>123</v>
      </c>
      <c r="B13" s="19"/>
      <c r="C13" s="19"/>
      <c r="D13" s="19"/>
      <c r="E13" s="19"/>
      <c r="F13" s="20" t="n">
        <f aca="false">F11+F12</f>
        <v>7759200</v>
      </c>
    </row>
  </sheetData>
  <mergeCells count="5">
    <mergeCell ref="A1:F1"/>
    <mergeCell ref="A2:F2"/>
    <mergeCell ref="A11:E11"/>
    <mergeCell ref="A12:E1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22" t="str">
        <f aca="false">Параметры!$B$40</f>
        <v>ООО «ЛифтМонтажСервис»</v>
      </c>
      <c r="B1" s="22"/>
      <c r="C1" s="22"/>
      <c r="D1" s="22"/>
      <c r="E1" s="22"/>
    </row>
    <row r="2" customFormat="false" ht="15" hidden="false" customHeight="false" outlineLevel="0" collapsed="false">
      <c r="A2" s="23" t="str">
        <f aca="false">Параметры!$B$44&amp;", тел. "&amp;Параметры!$B$56&amp;", "&amp;Параметры!$B$57</f>
        <v>115280, г. Москва, ул. Ленинская Слобода, д. 19, стр. 2, тел. +7 (495) 987-65-43, office@liftmontag.ru</v>
      </c>
      <c r="B2" s="23"/>
      <c r="C2" s="23"/>
      <c r="D2" s="23"/>
      <c r="E2" s="23"/>
    </row>
    <row r="3" customFormat="false" ht="15" hidden="false" customHeight="false" outlineLevel="0" collapsed="false">
      <c r="A3" s="23" t="str">
        <f aca="false">"ИНН "&amp;Параметры!$B$41&amp;" / КПП "&amp;Параметры!$B$42&amp;", ОГРН "&amp;Параметры!$B$43</f>
        <v>ИНН 7725678901 / КПП 772501001, ОГРН 1187746654321</v>
      </c>
      <c r="B3" s="23"/>
      <c r="C3" s="23"/>
      <c r="D3" s="23"/>
      <c r="E3" s="23"/>
    </row>
    <row r="5" customFormat="false" ht="15" hidden="false" customHeight="false" outlineLevel="0" collapsed="false">
      <c r="A5" s="11" t="str">
        <f aca="false">"КОММЕРЧЕСКОЕ ПРЕДЛОЖЕНИЕ № "&amp;Параметры!$B$66&amp;" от "&amp;TEXT(Параметры!$B$67,"DD.MM.YYYY")</f>
        <v>КОММЕРЧЕСКОЕ ПРЕДЛОЖЕНИЕ № 14-КП от 17.07.2026</v>
      </c>
      <c r="B5" s="11"/>
      <c r="C5" s="11"/>
      <c r="D5" s="11"/>
      <c r="E5" s="11"/>
    </row>
    <row r="7" customFormat="false" ht="15" hidden="false" customHeight="false" outlineLevel="0" collapsed="false">
      <c r="A7" s="23" t="str">
        <f aca="false">"Кому: "&amp;Параметры!$B$17&amp;", "&amp;Параметры!$B$26&amp;" "&amp;Параметры!$B$28</f>
        <v>Кому: ООО «СЗ «Новый квартал», Генеральный директор Иванов И.И.</v>
      </c>
      <c r="B7" s="23"/>
      <c r="C7" s="23"/>
      <c r="D7" s="23"/>
      <c r="E7" s="23"/>
    </row>
    <row r="9" customFormat="false" ht="42" hidden="false" customHeight="true" outlineLevel="0" collapsed="false">
      <c r="A9" s="24" t="str">
        <f aca="false">Параметры!$B$40&amp;" предлагает выполнить комплекс работ по монтажу и пусконаладке лифтового оборудования ("&amp;Параметры!$B$63&amp;", "&amp;Параметры!$B$62&amp;" шт.) на объекте: "&amp;Параметры!$B$60&amp;" по адресу: "&amp;Параметры!$B$61&amp;"."</f>
        <v>ООО «ЛифтМонтажСервис» предлагает выполнить комплекс работ по монтажу и пусконаладке лифтового оборудования (лифт пассажирский, г/п 630 кг, скорость 1,0 м/с, 9 остановок, 2 шт.) на объекте: Многоквартирный жилой дом, корпус 3 по адресу: г. Москва, ул. Полярная, д. 25, корп. 3.</v>
      </c>
      <c r="B9" s="24"/>
      <c r="C9" s="24"/>
      <c r="D9" s="24"/>
      <c r="E9" s="24"/>
    </row>
    <row r="11" customFormat="false" ht="23.85" hidden="false" customHeight="false" outlineLevel="0" collapsed="false">
      <c r="A11" s="13" t="s">
        <v>104</v>
      </c>
      <c r="B11" s="13" t="s">
        <v>132</v>
      </c>
      <c r="C11" s="13" t="s">
        <v>133</v>
      </c>
      <c r="D11" s="13" t="str">
        <f aca="false">"НДС ("&amp;TEXT(Параметры!$B$12,"0%")&amp;"), руб."</f>
        <v>НДС (20%), руб.</v>
      </c>
      <c r="E11" s="13" t="s">
        <v>134</v>
      </c>
    </row>
    <row r="12" customFormat="false" ht="15" hidden="false" customHeight="false" outlineLevel="0" collapsed="false">
      <c r="A12" s="14" t="n">
        <v>1</v>
      </c>
      <c r="B12" s="4" t="s">
        <v>135</v>
      </c>
      <c r="C12" s="25" t="n">
        <f aca="false">Смета!$F$15</f>
        <v>3336000</v>
      </c>
      <c r="D12" s="25" t="n">
        <f aca="false">Смета!$F$16</f>
        <v>667200</v>
      </c>
      <c r="E12" s="25" t="n">
        <f aca="false">Смета!$F$17</f>
        <v>4003200</v>
      </c>
    </row>
    <row r="13" customFormat="false" ht="15" hidden="false" customHeight="false" outlineLevel="0" collapsed="false">
      <c r="A13" s="14" t="n">
        <v>2</v>
      </c>
      <c r="B13" s="4" t="s">
        <v>136</v>
      </c>
      <c r="C13" s="25" t="n">
        <f aca="false">Спецификация!$F$11</f>
        <v>6466000</v>
      </c>
      <c r="D13" s="25" t="n">
        <f aca="false">Спецификация!$F$12</f>
        <v>1293200</v>
      </c>
      <c r="E13" s="25" t="n">
        <f aca="false">Спецификация!$F$13</f>
        <v>7759200</v>
      </c>
    </row>
    <row r="14" customFormat="false" ht="15" hidden="false" customHeight="false" outlineLevel="0" collapsed="false">
      <c r="A14" s="19" t="s">
        <v>137</v>
      </c>
      <c r="B14" s="19"/>
      <c r="C14" s="20" t="n">
        <f aca="false">SUM(C12:C13)</f>
        <v>9802000</v>
      </c>
      <c r="D14" s="20" t="n">
        <f aca="false">SUM(D12:D13)</f>
        <v>1960400</v>
      </c>
      <c r="E14" s="20" t="n">
        <f aca="false">SUM(E12:E13)</f>
        <v>11762400</v>
      </c>
    </row>
    <row r="16" customFormat="false" ht="15" hidden="false" customHeight="false" outlineLevel="0" collapsed="false">
      <c r="A16" s="23" t="str">
        <f aca="false">"Срок выполнения работ: с "&amp;TEXT(Параметры!$B$8,"DD.MM.YYYY")&amp;" по "&amp;TEXT(Параметры!$B$9,"DD.MM.YYYY")&amp;"."</f>
        <v>Срок выполнения работ: с 01.08.2026 по 30.11.2026.</v>
      </c>
      <c r="B16" s="23"/>
      <c r="C16" s="23"/>
      <c r="D16" s="23"/>
      <c r="E16" s="23"/>
    </row>
    <row r="17" customFormat="false" ht="27.75" hidden="false" customHeight="true" outlineLevel="0" collapsed="false">
      <c r="A17" s="23" t="str">
        <f aca="false">"Условия оплаты: аванс "&amp;TEXT(Параметры!$B$10,"0%")&amp;", окончательный расчёт — в течение 10 банковских дней после подписания актов по формам КС-2 и КС-3."</f>
        <v>Условия оплаты: аванс 30%, окончательный расчёт — в течение 10 банковских дней после подписания актов по формам КС-2 и КС-3.</v>
      </c>
      <c r="B17" s="23"/>
      <c r="C17" s="23"/>
      <c r="D17" s="23"/>
      <c r="E17" s="23"/>
    </row>
    <row r="18" customFormat="false" ht="15" hidden="false" customHeight="false" outlineLevel="0" collapsed="false">
      <c r="A18" s="23" t="str">
        <f aca="false">"Гарантия на выполненные работы: "&amp;Параметры!$B$11&amp;" мес. Срок действия предложения: 30 календарных дней."</f>
        <v>Гарантия на выполненные работы: 24 мес. Срок действия предложения: 30 календарных дней.</v>
      </c>
      <c r="B18" s="23"/>
      <c r="C18" s="23"/>
      <c r="D18" s="23"/>
      <c r="E18" s="23"/>
    </row>
    <row r="21" customFormat="false" ht="15" hidden="false" customHeight="false" outlineLevel="0" collapsed="false">
      <c r="A21" s="26" t="str">
        <f aca="false">Параметры!$B$49&amp;" "&amp;Параметры!$B$40</f>
        <v>Генеральный директор ООО «ЛифтМонтажСервис»</v>
      </c>
      <c r="B21" s="26"/>
      <c r="C21" s="26"/>
      <c r="E21" s="27" t="str">
        <f aca="false">"_____________ /"&amp;Параметры!$B$51&amp;"/"</f>
        <v>_____________ /Петров П.П./</v>
      </c>
    </row>
  </sheetData>
  <mergeCells count="11">
    <mergeCell ref="A1:E1"/>
    <mergeCell ref="A2:E2"/>
    <mergeCell ref="A3:E3"/>
    <mergeCell ref="A5:E5"/>
    <mergeCell ref="A7:E7"/>
    <mergeCell ref="A9:E9"/>
    <mergeCell ref="A14:B14"/>
    <mergeCell ref="A16:E16"/>
    <mergeCell ref="A17:E17"/>
    <mergeCell ref="A18:E18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G1" s="28" t="s">
        <v>138</v>
      </c>
    </row>
    <row r="2" customFormat="false" ht="25.5" hidden="false" customHeight="true" outlineLevel="0" collapsed="false">
      <c r="A2" s="23" t="str">
        <f aca="false">"Заказчик (Генподрядчик): "&amp;Параметры!$B$16&amp;", "&amp;Параметры!$B$21&amp;", тел. "&amp;Параметры!$B$35</f>
        <v>Заказчик (Генподрядчик): Общество с ограниченной ответственностью «Специализированный застройщик «Новый квартал», 101000, г. Москва, ул. Мясницкая, д. 10, офис 5, тел. +7 (495) 123-45-67</v>
      </c>
      <c r="B2" s="23"/>
      <c r="C2" s="23"/>
      <c r="D2" s="23"/>
      <c r="E2" s="23"/>
      <c r="F2" s="23"/>
      <c r="G2" s="23"/>
    </row>
    <row r="3" customFormat="false" ht="25.5" hidden="false" customHeight="true" outlineLevel="0" collapsed="false">
      <c r="A3" s="23" t="str">
        <f aca="false">"Подрядчик (Субподрядчик): "&amp;Параметры!$B$39&amp;", "&amp;Параметры!$B$44&amp;", тел. "&amp;Параметры!$B$56</f>
        <v>Подрядчик (Субподрядчик): Общество с ограниченной ответственностью «ЛифтМонтажСервис», 115280, г. Москва, ул. Ленинская Слобода, д. 19, стр. 2, тел. +7 (495) 987-65-43</v>
      </c>
      <c r="B3" s="23"/>
      <c r="C3" s="23"/>
      <c r="D3" s="23"/>
      <c r="E3" s="23"/>
      <c r="F3" s="23"/>
      <c r="G3" s="23"/>
    </row>
    <row r="4" customFormat="false" ht="15" hidden="false" customHeight="false" outlineLevel="0" collapsed="false">
      <c r="A4" s="23" t="str">
        <f aca="false">"Стройка (объект): "&amp;Параметры!$B$60&amp;", "&amp;Параметры!$B$61</f>
        <v>Стройка (объект): Многоквартирный жилой дом, корпус 3, г. Москва, ул. Полярная, д. 25, корп. 3</v>
      </c>
      <c r="B4" s="23"/>
      <c r="C4" s="23"/>
      <c r="D4" s="23"/>
      <c r="E4" s="23"/>
      <c r="F4" s="23"/>
      <c r="G4" s="23"/>
    </row>
    <row r="5" customFormat="false" ht="15" hidden="false" customHeight="false" outlineLevel="0" collapsed="false">
      <c r="A5" s="23" t="str">
        <f aca="false">"Договор подряда: № "&amp;Параметры!$B$5&amp;" от "&amp;TEXT(Параметры!$B$6,"DD.MM.YYYY")</f>
        <v>Договор подряда: № ПД-14/2026 от 17.07.2026</v>
      </c>
      <c r="B5" s="23"/>
      <c r="C5" s="23"/>
      <c r="D5" s="23"/>
      <c r="E5" s="23"/>
      <c r="F5" s="23"/>
      <c r="G5" s="23"/>
    </row>
    <row r="7" customFormat="false" ht="15" hidden="false" customHeight="false" outlineLevel="0" collapsed="false">
      <c r="A7" s="11" t="str">
        <f aca="false">"АКТ О ПРИЕМКЕ ВЫПОЛНЕННЫХ РАБОТ № "&amp;Параметры!$B$68&amp;" от "&amp;TEXT(Параметры!$B$69,"DD.MM.YYYY")</f>
        <v>АКТ О ПРИЕМКЕ ВЫПОЛНЕННЫХ РАБОТ № 1 от 30.11.2026</v>
      </c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2" t="str">
        <f aca="false">"Отчётный период: с "&amp;TEXT(Параметры!$B$70,"DD.MM.YYYY")&amp;" по "&amp;TEXT(Параметры!$B$71,"DD.MM.YYYY")</f>
        <v>Отчётный период: с 01.08.2026 по 30.11.2026</v>
      </c>
      <c r="B8" s="12"/>
      <c r="C8" s="12"/>
      <c r="D8" s="12"/>
      <c r="E8" s="12"/>
      <c r="F8" s="12"/>
      <c r="G8" s="12"/>
    </row>
    <row r="10" customFormat="false" ht="23.85" hidden="false" customHeight="false" outlineLevel="0" collapsed="false">
      <c r="A10" s="13" t="s">
        <v>139</v>
      </c>
      <c r="B10" s="13" t="s">
        <v>140</v>
      </c>
      <c r="C10" s="13" t="s">
        <v>105</v>
      </c>
      <c r="D10" s="13" t="s">
        <v>106</v>
      </c>
      <c r="E10" s="13" t="s">
        <v>107</v>
      </c>
      <c r="F10" s="13" t="s">
        <v>141</v>
      </c>
      <c r="G10" s="13" t="s">
        <v>109</v>
      </c>
    </row>
    <row r="11" customFormat="false" ht="15" hidden="false" customHeight="false" outlineLevel="0" collapsed="false">
      <c r="A11" s="14" t="n">
        <v>1</v>
      </c>
      <c r="B11" s="29" t="n">
        <f aca="false">Смета!A5</f>
        <v>1</v>
      </c>
      <c r="C11" s="30" t="str">
        <f aca="false">Смета!B5</f>
        <v>Демонтаж существующего лифтового оборудования</v>
      </c>
      <c r="D11" s="29" t="str">
        <f aca="false">Смета!C5</f>
        <v>шт.</v>
      </c>
      <c r="E11" s="31" t="n">
        <f aca="false">Смета!D5</f>
        <v>2</v>
      </c>
      <c r="F11" s="25" t="n">
        <f aca="false">Смета!E5</f>
        <v>180000</v>
      </c>
      <c r="G11" s="18" t="n">
        <f aca="false">E11*F11</f>
        <v>360000</v>
      </c>
    </row>
    <row r="12" customFormat="false" ht="15" hidden="false" customHeight="false" outlineLevel="0" collapsed="false">
      <c r="A12" s="14" t="n">
        <v>2</v>
      </c>
      <c r="B12" s="29" t="n">
        <f aca="false">Смета!A6</f>
        <v>2</v>
      </c>
      <c r="C12" s="30" t="str">
        <f aca="false">Смета!B6</f>
        <v>Монтаж направляющих кабины и противовеса</v>
      </c>
      <c r="D12" s="29" t="str">
        <f aca="false">Смета!C6</f>
        <v>компл.</v>
      </c>
      <c r="E12" s="31" t="n">
        <f aca="false">Смета!D6</f>
        <v>2</v>
      </c>
      <c r="F12" s="25" t="n">
        <f aca="false">Смета!E6</f>
        <v>220000</v>
      </c>
      <c r="G12" s="18" t="n">
        <f aca="false">E12*F12</f>
        <v>440000</v>
      </c>
    </row>
    <row r="13" customFormat="false" ht="15" hidden="false" customHeight="false" outlineLevel="0" collapsed="false">
      <c r="A13" s="14" t="n">
        <v>3</v>
      </c>
      <c r="B13" s="29" t="n">
        <f aca="false">Смета!A7</f>
        <v>3</v>
      </c>
      <c r="C13" s="30" t="str">
        <f aca="false">Смета!B7</f>
        <v>Монтаж лебёдки и рамы главного привода</v>
      </c>
      <c r="D13" s="29" t="str">
        <f aca="false">Смета!C7</f>
        <v>шт.</v>
      </c>
      <c r="E13" s="31" t="n">
        <f aca="false">Смета!D7</f>
        <v>2</v>
      </c>
      <c r="F13" s="25" t="n">
        <f aca="false">Смета!E7</f>
        <v>150000</v>
      </c>
      <c r="G13" s="18" t="n">
        <f aca="false">E13*F13</f>
        <v>300000</v>
      </c>
    </row>
    <row r="14" customFormat="false" ht="15" hidden="false" customHeight="false" outlineLevel="0" collapsed="false">
      <c r="A14" s="14" t="n">
        <v>4</v>
      </c>
      <c r="B14" s="29" t="n">
        <f aca="false">Смета!A8</f>
        <v>4</v>
      </c>
      <c r="C14" s="30" t="str">
        <f aca="false">Смета!B8</f>
        <v>Монтаж кабины лифта</v>
      </c>
      <c r="D14" s="29" t="str">
        <f aca="false">Смета!C8</f>
        <v>шт.</v>
      </c>
      <c r="E14" s="31" t="n">
        <f aca="false">Смета!D8</f>
        <v>2</v>
      </c>
      <c r="F14" s="25" t="n">
        <f aca="false">Смета!E8</f>
        <v>260000</v>
      </c>
      <c r="G14" s="18" t="n">
        <f aca="false">E14*F14</f>
        <v>520000</v>
      </c>
    </row>
    <row r="15" customFormat="false" ht="15" hidden="false" customHeight="false" outlineLevel="0" collapsed="false">
      <c r="A15" s="14" t="n">
        <v>5</v>
      </c>
      <c r="B15" s="29" t="n">
        <f aca="false">Смета!A9</f>
        <v>5</v>
      </c>
      <c r="C15" s="30" t="str">
        <f aca="false">Смета!B9</f>
        <v>Монтаж противовеса</v>
      </c>
      <c r="D15" s="29" t="str">
        <f aca="false">Смета!C9</f>
        <v>шт.</v>
      </c>
      <c r="E15" s="31" t="n">
        <f aca="false">Смета!D9</f>
        <v>2</v>
      </c>
      <c r="F15" s="25" t="n">
        <f aca="false">Смета!E9</f>
        <v>90000</v>
      </c>
      <c r="G15" s="18" t="n">
        <f aca="false">E15*F15</f>
        <v>180000</v>
      </c>
    </row>
    <row r="16" customFormat="false" ht="15" hidden="false" customHeight="false" outlineLevel="0" collapsed="false">
      <c r="A16" s="14" t="n">
        <v>6</v>
      </c>
      <c r="B16" s="29" t="n">
        <f aca="false">Смета!A10</f>
        <v>6</v>
      </c>
      <c r="C16" s="30" t="str">
        <f aca="false">Смета!B10</f>
        <v>Монтаж дверей шахты</v>
      </c>
      <c r="D16" s="29" t="str">
        <f aca="false">Смета!C10</f>
        <v>шт.</v>
      </c>
      <c r="E16" s="31" t="n">
        <f aca="false">Смета!D10</f>
        <v>18</v>
      </c>
      <c r="F16" s="25" t="n">
        <f aca="false">Смета!E10</f>
        <v>25000</v>
      </c>
      <c r="G16" s="18" t="n">
        <f aca="false">E16*F16</f>
        <v>450000</v>
      </c>
    </row>
    <row r="17" customFormat="false" ht="23.85" hidden="false" customHeight="false" outlineLevel="0" collapsed="false">
      <c r="A17" s="14" t="n">
        <v>7</v>
      </c>
      <c r="B17" s="29" t="n">
        <f aca="false">Смета!A11</f>
        <v>7</v>
      </c>
      <c r="C17" s="30" t="str">
        <f aca="false">Смета!B11</f>
        <v>Электромонтажные работы (станция управления, освещение и разводка по шахте)</v>
      </c>
      <c r="D17" s="29" t="str">
        <f aca="false">Смета!C11</f>
        <v>компл.</v>
      </c>
      <c r="E17" s="31" t="n">
        <f aca="false">Смета!D11</f>
        <v>2</v>
      </c>
      <c r="F17" s="25" t="n">
        <f aca="false">Смета!E11</f>
        <v>190000</v>
      </c>
      <c r="G17" s="18" t="n">
        <f aca="false">E17*F17</f>
        <v>380000</v>
      </c>
    </row>
    <row r="18" customFormat="false" ht="15" hidden="false" customHeight="false" outlineLevel="0" collapsed="false">
      <c r="A18" s="14" t="n">
        <v>8</v>
      </c>
      <c r="B18" s="29" t="n">
        <f aca="false">Смета!A12</f>
        <v>8</v>
      </c>
      <c r="C18" s="30" t="str">
        <f aca="false">Смета!B12</f>
        <v>Монтаж обрамлений дверных проёмов</v>
      </c>
      <c r="D18" s="29" t="str">
        <f aca="false">Смета!C12</f>
        <v>шт.</v>
      </c>
      <c r="E18" s="31" t="n">
        <f aca="false">Смета!D12</f>
        <v>18</v>
      </c>
      <c r="F18" s="25" t="n">
        <f aca="false">Смета!E12</f>
        <v>12000</v>
      </c>
      <c r="G18" s="18" t="n">
        <f aca="false">E18*F18</f>
        <v>216000</v>
      </c>
    </row>
    <row r="19" customFormat="false" ht="15" hidden="false" customHeight="false" outlineLevel="0" collapsed="false">
      <c r="A19" s="14" t="n">
        <v>9</v>
      </c>
      <c r="B19" s="29" t="n">
        <f aca="false">Смета!A13</f>
        <v>9</v>
      </c>
      <c r="C19" s="30" t="str">
        <f aca="false">Смета!B13</f>
        <v>Пусконаладочные работы</v>
      </c>
      <c r="D19" s="29" t="str">
        <f aca="false">Смета!C13</f>
        <v>компл.</v>
      </c>
      <c r="E19" s="31" t="n">
        <f aca="false">Смета!D13</f>
        <v>2</v>
      </c>
      <c r="F19" s="25" t="n">
        <f aca="false">Смета!E13</f>
        <v>160000</v>
      </c>
      <c r="G19" s="18" t="n">
        <f aca="false">E19*F19</f>
        <v>320000</v>
      </c>
    </row>
    <row r="20" customFormat="false" ht="15" hidden="false" customHeight="false" outlineLevel="0" collapsed="false">
      <c r="A20" s="14" t="n">
        <v>10</v>
      </c>
      <c r="B20" s="29" t="n">
        <f aca="false">Смета!A14</f>
        <v>10</v>
      </c>
      <c r="C20" s="30" t="str">
        <f aca="false">Смета!B14</f>
        <v>Полное техническое освидетельствование и сдача лифтов в эксплуатацию</v>
      </c>
      <c r="D20" s="29" t="str">
        <f aca="false">Смета!C14</f>
        <v>компл.</v>
      </c>
      <c r="E20" s="31" t="n">
        <f aca="false">Смета!D14</f>
        <v>2</v>
      </c>
      <c r="F20" s="25" t="n">
        <f aca="false">Смета!E14</f>
        <v>85000</v>
      </c>
      <c r="G20" s="18" t="n">
        <f aca="false">E20*F20</f>
        <v>170000</v>
      </c>
    </row>
    <row r="21" customFormat="false" ht="15" hidden="false" customHeight="false" outlineLevel="0" collapsed="false">
      <c r="A21" s="19" t="s">
        <v>122</v>
      </c>
      <c r="B21" s="19"/>
      <c r="C21" s="19"/>
      <c r="D21" s="19"/>
      <c r="E21" s="19"/>
      <c r="F21" s="19"/>
      <c r="G21" s="20" t="n">
        <f aca="false">SUM(G11:G20)</f>
        <v>3336000</v>
      </c>
    </row>
    <row r="22" customFormat="false" ht="15" hidden="false" customHeight="false" outlineLevel="0" collapsed="false">
      <c r="A22" s="19" t="str">
        <f aca="false">"НДС ("&amp;TEXT(Параметры!$B$12,"0%")&amp;"), справочно"</f>
        <v>НДС (20%), справочно</v>
      </c>
      <c r="B22" s="19"/>
      <c r="C22" s="19"/>
      <c r="D22" s="19"/>
      <c r="E22" s="19"/>
      <c r="F22" s="19"/>
      <c r="G22" s="20" t="n">
        <f aca="false">G21*Параметры!$B$12</f>
        <v>667200</v>
      </c>
    </row>
    <row r="23" customFormat="false" ht="15" hidden="false" customHeight="false" outlineLevel="0" collapsed="false">
      <c r="A23" s="19" t="s">
        <v>142</v>
      </c>
      <c r="B23" s="19"/>
      <c r="C23" s="19"/>
      <c r="D23" s="19"/>
      <c r="E23" s="19"/>
      <c r="F23" s="19"/>
      <c r="G23" s="20" t="n">
        <f aca="false">G21+G22</f>
        <v>4003200</v>
      </c>
    </row>
    <row r="25" customFormat="false" ht="15" hidden="false" customHeight="false" outlineLevel="0" collapsed="false">
      <c r="A25" s="26" t="str">
        <f aca="false">"Сдал: "&amp;Параметры!$B$49&amp;" "&amp;Параметры!$B$40</f>
        <v>Сдал: Генеральный директор ООО «ЛифтМонтажСервис»</v>
      </c>
      <c r="B25" s="26"/>
      <c r="C25" s="26"/>
      <c r="D25" s="26"/>
      <c r="F25" s="32" t="str">
        <f aca="false">"__________ /"&amp;Параметры!$B$51&amp;"/"</f>
        <v>__________ /Петров П.П./</v>
      </c>
      <c r="G25" s="32"/>
    </row>
    <row r="27" customFormat="false" ht="15" hidden="false" customHeight="false" outlineLevel="0" collapsed="false">
      <c r="A27" s="26" t="str">
        <f aca="false">"Принял: "&amp;Параметры!$B$26&amp;" "&amp;Параметры!$B$17</f>
        <v>Принял: Генеральный директор ООО «СЗ «Новый квартал»</v>
      </c>
      <c r="B27" s="26"/>
      <c r="C27" s="26"/>
      <c r="D27" s="26"/>
      <c r="F27" s="32" t="str">
        <f aca="false">"__________ /"&amp;Параметры!$B$28&amp;"/"</f>
        <v>__________ /Иванов И.И./</v>
      </c>
      <c r="G27" s="32"/>
    </row>
  </sheetData>
  <mergeCells count="13">
    <mergeCell ref="A2:G2"/>
    <mergeCell ref="A3:G3"/>
    <mergeCell ref="A4:G4"/>
    <mergeCell ref="A5:G5"/>
    <mergeCell ref="A7:G7"/>
    <mergeCell ref="A8:G8"/>
    <mergeCell ref="A21:F21"/>
    <mergeCell ref="A22:F22"/>
    <mergeCell ref="A23:F23"/>
    <mergeCell ref="A25:D25"/>
    <mergeCell ref="F25:G25"/>
    <mergeCell ref="A27:D27"/>
    <mergeCell ref="F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20"/>
  </cols>
  <sheetData>
    <row r="1" customFormat="false" ht="15" hidden="false" customHeight="false" outlineLevel="0" collapsed="false">
      <c r="E1" s="28" t="s">
        <v>143</v>
      </c>
    </row>
    <row r="2" customFormat="false" ht="25.5" hidden="false" customHeight="true" outlineLevel="0" collapsed="false">
      <c r="A2" s="23" t="str">
        <f aca="false">"Заказчик (Генподрядчик): "&amp;Параметры!$B$16&amp;", "&amp;Параметры!$B$21</f>
        <v>Заказчик (Генподрядчик): Общество с ограниченной ответственностью «Специализированный застройщик «Новый квартал», 101000, г. Москва, ул. Мясницкая, д. 10, офис 5</v>
      </c>
      <c r="B2" s="23"/>
      <c r="C2" s="23"/>
      <c r="D2" s="23"/>
      <c r="E2" s="23"/>
    </row>
    <row r="3" customFormat="false" ht="25.5" hidden="false" customHeight="true" outlineLevel="0" collapsed="false">
      <c r="A3" s="23" t="str">
        <f aca="false">"Подрядчик (Субподрядчик): "&amp;Параметры!$B$39&amp;", "&amp;Параметры!$B$44</f>
        <v>Подрядчик (Субподрядчик): Общество с ограниченной ответственностью «ЛифтМонтажСервис», 115280, г. Москва, ул. Ленинская Слобода, д. 19, стр. 2</v>
      </c>
      <c r="B3" s="23"/>
      <c r="C3" s="23"/>
      <c r="D3" s="23"/>
      <c r="E3" s="23"/>
    </row>
    <row r="4" customFormat="false" ht="15" hidden="false" customHeight="false" outlineLevel="0" collapsed="false">
      <c r="A4" s="23" t="str">
        <f aca="false">"Стройка (объект): "&amp;Параметры!$B$60&amp;", "&amp;Параметры!$B$61</f>
        <v>Стройка (объект): Многоквартирный жилой дом, корпус 3, г. Москва, ул. Полярная, д. 25, корп. 3</v>
      </c>
      <c r="B4" s="23"/>
      <c r="C4" s="23"/>
      <c r="D4" s="23"/>
      <c r="E4" s="23"/>
    </row>
    <row r="5" customFormat="false" ht="15" hidden="false" customHeight="false" outlineLevel="0" collapsed="false">
      <c r="A5" s="23" t="str">
        <f aca="false">"Договор подряда: № "&amp;Параметры!$B$5&amp;" от "&amp;TEXT(Параметры!$B$6,"DD.MM.YYYY")</f>
        <v>Договор подряда: № ПД-14/2026 от 17.07.2026</v>
      </c>
      <c r="B5" s="23"/>
      <c r="C5" s="23"/>
      <c r="D5" s="23"/>
      <c r="E5" s="23"/>
    </row>
    <row r="7" customFormat="false" ht="15" hidden="false" customHeight="false" outlineLevel="0" collapsed="false">
      <c r="A7" s="11" t="str">
        <f aca="false">"СПРАВКА О СТОИМОСТИ ВЫПОЛНЕННЫХ РАБОТ И ЗАТРАТ № "&amp;Параметры!$B$72&amp;" от "&amp;TEXT(Параметры!$B$73,"DD.MM.YYYY")</f>
        <v>СПРАВКА О СТОИМОСТИ ВЫПОЛНЕННЫХ РАБОТ И ЗАТРАТ № 1 от 30.11.2026</v>
      </c>
      <c r="B7" s="11"/>
      <c r="C7" s="11"/>
      <c r="D7" s="11"/>
      <c r="E7" s="11"/>
    </row>
    <row r="8" customFormat="false" ht="15" hidden="false" customHeight="false" outlineLevel="0" collapsed="false">
      <c r="A8" s="12" t="str">
        <f aca="false">"Отчётный период: с "&amp;TEXT(Параметры!$B$70,"DD.MM.YYYY")&amp;" по "&amp;TEXT(Параметры!$B$71,"DD.MM.YYYY")</f>
        <v>Отчётный период: с 01.08.2026 по 30.11.2026</v>
      </c>
      <c r="B8" s="12"/>
      <c r="C8" s="12"/>
      <c r="D8" s="12"/>
      <c r="E8" s="12"/>
    </row>
    <row r="10" customFormat="false" ht="23.85" hidden="false" customHeight="false" outlineLevel="0" collapsed="false">
      <c r="A10" s="13" t="s">
        <v>104</v>
      </c>
      <c r="B10" s="13" t="s">
        <v>144</v>
      </c>
      <c r="C10" s="13" t="s">
        <v>145</v>
      </c>
      <c r="D10" s="13" t="s">
        <v>146</v>
      </c>
      <c r="E10" s="13" t="s">
        <v>147</v>
      </c>
    </row>
    <row r="11" customFormat="false" ht="23.85" hidden="false" customHeight="false" outlineLevel="0" collapsed="false">
      <c r="A11" s="14" t="n">
        <v>1</v>
      </c>
      <c r="B11" s="4" t="str">
        <f aca="false">"Строительно-монтажные и пусконаладочные работы (акт КС-2 № "&amp;Параметры!$B$68&amp;" от "&amp;TEXT(Параметры!$B$69,"DD.MM.YYYY")&amp;")"</f>
        <v>Строительно-монтажные и пусконаладочные работы (акт КС-2 № 1 от 30.11.2026)</v>
      </c>
      <c r="C11" s="25" t="n">
        <f aca="false">'КС-2'!$G$21</f>
        <v>3336000</v>
      </c>
      <c r="D11" s="18" t="n">
        <f aca="false">C11</f>
        <v>3336000</v>
      </c>
      <c r="E11" s="18" t="n">
        <f aca="false">C11</f>
        <v>3336000</v>
      </c>
    </row>
    <row r="12" customFormat="false" ht="15" hidden="false" customHeight="false" outlineLevel="0" collapsed="false">
      <c r="A12" s="14" t="n">
        <v>2</v>
      </c>
      <c r="B12" s="4" t="str">
        <f aca="false">"Лифтовое оборудование и материалы (Спецификация № 1)"</f>
        <v>Лифтовое оборудование и материалы (Спецификация № 1)</v>
      </c>
      <c r="C12" s="25" t="n">
        <f aca="false">Спецификация!$F$11</f>
        <v>6466000</v>
      </c>
      <c r="D12" s="18" t="n">
        <f aca="false">C12</f>
        <v>6466000</v>
      </c>
      <c r="E12" s="18" t="n">
        <f aca="false">C12</f>
        <v>6466000</v>
      </c>
    </row>
    <row r="13" customFormat="false" ht="15" hidden="false" customHeight="false" outlineLevel="0" collapsed="false">
      <c r="A13" s="33"/>
      <c r="B13" s="34" t="s">
        <v>148</v>
      </c>
      <c r="C13" s="20" t="n">
        <f aca="false">SUM(C11:C12)</f>
        <v>9802000</v>
      </c>
      <c r="D13" s="20" t="n">
        <f aca="false">SUM(D11:D12)</f>
        <v>9802000</v>
      </c>
      <c r="E13" s="20" t="n">
        <f aca="false">SUM(E11:E12)</f>
        <v>9802000</v>
      </c>
    </row>
    <row r="14" customFormat="false" ht="15" hidden="false" customHeight="false" outlineLevel="0" collapsed="false">
      <c r="A14" s="33"/>
      <c r="B14" s="34" t="str">
        <f aca="false">"Сумма НДС ("&amp;TEXT(Параметры!$B$12,"0%")&amp;")"</f>
        <v>Сумма НДС (20%)</v>
      </c>
      <c r="C14" s="20" t="n">
        <f aca="false">C13*Параметры!$B$12</f>
        <v>1960400</v>
      </c>
      <c r="D14" s="20" t="n">
        <f aca="false">D13*Параметры!$B$12</f>
        <v>1960400</v>
      </c>
      <c r="E14" s="20" t="n">
        <f aca="false">E13*Параметры!$B$12</f>
        <v>1960400</v>
      </c>
    </row>
    <row r="15" customFormat="false" ht="15" hidden="false" customHeight="false" outlineLevel="0" collapsed="false">
      <c r="A15" s="33"/>
      <c r="B15" s="34" t="s">
        <v>149</v>
      </c>
      <c r="C15" s="20" t="n">
        <f aca="false">C13+C14</f>
        <v>11762400</v>
      </c>
      <c r="D15" s="20" t="n">
        <f aca="false">D13+D14</f>
        <v>11762400</v>
      </c>
      <c r="E15" s="20" t="n">
        <f aca="false">E13+E14</f>
        <v>11762400</v>
      </c>
    </row>
    <row r="17" customFormat="false" ht="15" hidden="false" customHeight="false" outlineLevel="0" collapsed="false">
      <c r="A17" s="26" t="str">
        <f aca="false">"Заказчик: "&amp;Параметры!$B$26&amp;" "&amp;Параметры!$B$17</f>
        <v>Заказчик: Генеральный директор ООО «СЗ «Новый квартал»</v>
      </c>
      <c r="B17" s="26"/>
      <c r="C17" s="26"/>
      <c r="E17" s="27" t="str">
        <f aca="false">"__________ /"&amp;Параметры!$B$28&amp;"/"</f>
        <v>__________ /Иванов И.И./</v>
      </c>
    </row>
    <row r="19" customFormat="false" ht="15" hidden="false" customHeight="false" outlineLevel="0" collapsed="false">
      <c r="A19" s="26" t="str">
        <f aca="false">"Подрядчик: "&amp;Параметры!$B$49&amp;" "&amp;Параметры!$B$40</f>
        <v>Подрядчик: Генеральный директор ООО «ЛифтМонтажСервис»</v>
      </c>
      <c r="B19" s="26"/>
      <c r="C19" s="26"/>
      <c r="E19" s="27" t="str">
        <f aca="false">"__________ /"&amp;Параметры!$B$51&amp;"/"</f>
        <v>__________ /Петров П.П./</v>
      </c>
    </row>
  </sheetData>
  <mergeCells count="8">
    <mergeCell ref="A2:E2"/>
    <mergeCell ref="A3:E3"/>
    <mergeCell ref="A4:E4"/>
    <mergeCell ref="A5:E5"/>
    <mergeCell ref="A7:E7"/>
    <mergeCell ref="A8:E8"/>
    <mergeCell ref="A17:C17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23" t="str">
        <f aca="false">"Банк получателя: "&amp;Параметры!$B$45</f>
        <v>Банк получателя: АО «Альфа-Банк», г. Москва</v>
      </c>
      <c r="B1" s="23"/>
      <c r="C1" s="23"/>
      <c r="D1" s="23"/>
      <c r="E1" s="27" t="s">
        <v>29</v>
      </c>
      <c r="F1" s="35" t="str">
        <f aca="false">Параметры!$B$46</f>
        <v>044525593</v>
      </c>
    </row>
    <row r="2" customFormat="false" ht="15" hidden="false" customHeight="false" outlineLevel="0" collapsed="false">
      <c r="E2" s="27" t="s">
        <v>150</v>
      </c>
      <c r="F2" s="35" t="str">
        <f aca="false">Параметры!$B$48</f>
        <v>30101810200000000593</v>
      </c>
    </row>
    <row r="3" customFormat="false" ht="15" hidden="false" customHeight="false" outlineLevel="0" collapsed="false">
      <c r="A3" s="23" t="str">
        <f aca="false">"Получатель: "&amp;Параметры!$B$40&amp;", ИНН "&amp;Параметры!$B$41&amp;" / КПП "&amp;Параметры!$B$42</f>
        <v>Получатель: ООО «ЛифтМонтажСервис», ИНН 7725678901 / КПП 772501001</v>
      </c>
      <c r="B3" s="23"/>
      <c r="C3" s="23"/>
      <c r="D3" s="23"/>
      <c r="E3" s="27" t="s">
        <v>151</v>
      </c>
      <c r="F3" s="35" t="str">
        <f aca="false">Параметры!$B$47</f>
        <v>40702810102300067890</v>
      </c>
    </row>
    <row r="5" customFormat="false" ht="15" hidden="false" customHeight="false" outlineLevel="0" collapsed="false">
      <c r="A5" s="11" t="str">
        <f aca="false">"СЧЁТ НА ОПЛАТУ № "&amp;Параметры!$B$74&amp;" от "&amp;TEXT(Параметры!$B$75,"DD.MM.YYYY")</f>
        <v>СЧЁТ НА ОПЛАТУ № 118 от 30.11.2026</v>
      </c>
      <c r="B5" s="11"/>
      <c r="C5" s="11"/>
      <c r="D5" s="11"/>
      <c r="E5" s="11"/>
      <c r="F5" s="11"/>
    </row>
    <row r="7" customFormat="false" ht="25.5" hidden="false" customHeight="true" outlineLevel="0" collapsed="false">
      <c r="A7" s="23" t="str">
        <f aca="false">"Поставщик (Исполнитель): "&amp;Параметры!$B$39&amp;", "&amp;Параметры!$B$44</f>
        <v>Поставщик (Исполнитель): Общество с ограниченной ответственностью «ЛифтМонтажСервис», 115280, г. Москва, ул. Ленинская Слобода, д. 19, стр. 2</v>
      </c>
      <c r="B7" s="23"/>
      <c r="C7" s="23"/>
      <c r="D7" s="23"/>
      <c r="E7" s="23"/>
      <c r="F7" s="23"/>
    </row>
    <row r="8" customFormat="false" ht="25.5" hidden="false" customHeight="true" outlineLevel="0" collapsed="false">
      <c r="A8" s="23" t="str">
        <f aca="false">"Покупатель (Заказчик): "&amp;Параметры!$B$16&amp;", ИНН "&amp;Параметры!$B$18&amp;" / КПП "&amp;Параметры!$B$19&amp;", "&amp;Параметры!$B$21</f>
        <v>Покупатель (Заказчик): Общество с ограниченной ответственностью «Специализированный застройщик «Новый квартал», ИНН 7701234567 / КПП 770101001, 101000, г. Москва, ул. Мясницкая, д. 10, офис 5</v>
      </c>
      <c r="B8" s="23"/>
      <c r="C8" s="23"/>
      <c r="D8" s="23"/>
      <c r="E8" s="23"/>
      <c r="F8" s="23"/>
    </row>
    <row r="9" customFormat="false" ht="15" hidden="false" customHeight="false" outlineLevel="0" collapsed="false">
      <c r="A9" s="23" t="str">
        <f aca="false">"Основание: договор подряда № "&amp;Параметры!$B$5&amp;" от "&amp;TEXT(Параметры!$B$6,"DD.MM.YYYY")</f>
        <v>Основание: договор подряда № ПД-14/2026 от 17.07.2026</v>
      </c>
      <c r="B9" s="23"/>
      <c r="C9" s="23"/>
      <c r="D9" s="23"/>
      <c r="E9" s="23"/>
      <c r="F9" s="23"/>
    </row>
    <row r="11" customFormat="false" ht="15" hidden="false" customHeight="false" outlineLevel="0" collapsed="false">
      <c r="A11" s="13" t="s">
        <v>104</v>
      </c>
      <c r="B11" s="13" t="s">
        <v>152</v>
      </c>
      <c r="C11" s="13" t="s">
        <v>107</v>
      </c>
      <c r="D11" s="13" t="s">
        <v>106</v>
      </c>
      <c r="E11" s="13" t="s">
        <v>153</v>
      </c>
      <c r="F11" s="13" t="s">
        <v>154</v>
      </c>
    </row>
    <row r="12" customFormat="false" ht="33.75" hidden="false" customHeight="true" outlineLevel="0" collapsed="false">
      <c r="A12" s="14" t="n">
        <v>1</v>
      </c>
      <c r="B12" s="4" t="str">
        <f aca="false">"Работы по монтажу и пусконаладке лифтового оборудования по договору № "&amp;Параметры!$B$5&amp;" от "&amp;TEXT(Параметры!$B$6,"DD.MM.YYYY")&amp;" (акт КС-2 № "&amp;Параметры!$B$68&amp;", справка КС-3 № "&amp;Параметры!$B$72&amp;")"</f>
        <v>Работы по монтажу и пусконаладке лифтового оборудования по договору № ПД-14/2026 от 17.07.2026 (акт КС-2 № 1, справка КС-3 № 1)</v>
      </c>
      <c r="C12" s="36" t="n">
        <v>1</v>
      </c>
      <c r="D12" s="14" t="s">
        <v>113</v>
      </c>
      <c r="E12" s="25" t="n">
        <f aca="false">'КС-2'!$G$21</f>
        <v>3336000</v>
      </c>
      <c r="F12" s="18" t="n">
        <f aca="false">C12*E12</f>
        <v>3336000</v>
      </c>
    </row>
    <row r="13" customFormat="false" ht="19.5" hidden="false" customHeight="true" outlineLevel="0" collapsed="false">
      <c r="A13" s="14" t="n">
        <v>2</v>
      </c>
      <c r="B13" s="4" t="str">
        <f aca="false">"Лифтовое оборудование и материалы (Спецификация № 1 к договору)"</f>
        <v>Лифтовое оборудование и материалы (Спецификация № 1 к договору)</v>
      </c>
      <c r="C13" s="36" t="n">
        <v>1</v>
      </c>
      <c r="D13" s="14" t="s">
        <v>113</v>
      </c>
      <c r="E13" s="25" t="n">
        <f aca="false">Спецификация!$F$11</f>
        <v>6466000</v>
      </c>
      <c r="F13" s="18" t="n">
        <f aca="false">C13*E13</f>
        <v>6466000</v>
      </c>
    </row>
    <row r="14" customFormat="false" ht="15" hidden="false" customHeight="false" outlineLevel="0" collapsed="false">
      <c r="A14" s="19" t="s">
        <v>122</v>
      </c>
      <c r="B14" s="19"/>
      <c r="C14" s="19"/>
      <c r="D14" s="19"/>
      <c r="E14" s="19"/>
      <c r="F14" s="20" t="n">
        <f aca="false">SUM(F12:F13)</f>
        <v>9802000</v>
      </c>
    </row>
    <row r="15" customFormat="false" ht="15" hidden="false" customHeight="false" outlineLevel="0" collapsed="false">
      <c r="A15" s="19" t="str">
        <f aca="false">"НДС ("&amp;TEXT(Параметры!$B$12,"0%")&amp;")"</f>
        <v>НДС (20%)</v>
      </c>
      <c r="B15" s="19"/>
      <c r="C15" s="19"/>
      <c r="D15" s="19"/>
      <c r="E15" s="19"/>
      <c r="F15" s="20" t="n">
        <f aca="false">F14*Параметры!$B$12</f>
        <v>1960400</v>
      </c>
    </row>
    <row r="16" customFormat="false" ht="15" hidden="false" customHeight="false" outlineLevel="0" collapsed="false">
      <c r="A16" s="19" t="s">
        <v>155</v>
      </c>
      <c r="B16" s="19"/>
      <c r="C16" s="19"/>
      <c r="D16" s="19"/>
      <c r="E16" s="19"/>
      <c r="F16" s="20" t="n">
        <f aca="false">F14+F15</f>
        <v>11762400</v>
      </c>
    </row>
    <row r="18" customFormat="false" ht="15" hidden="false" customHeight="false" outlineLevel="0" collapsed="false">
      <c r="A18" s="37" t="str">
        <f aca="false">"Всего наименований "&amp;COUNT(Счёт!A12:A13)&amp;", на сумму "&amp;TEXT(F16,"#,##0.00")&amp;" руб."</f>
        <v>Всего наименований 2, на сумму 11,762,400.00 руб.</v>
      </c>
      <c r="B18" s="37"/>
      <c r="C18" s="37"/>
      <c r="D18" s="37"/>
      <c r="E18" s="37"/>
      <c r="F18" s="37"/>
    </row>
    <row r="19" customFormat="false" ht="27.75" hidden="false" customHeight="true" outlineLevel="0" collapsed="false">
      <c r="A19" s="23" t="str">
        <f aca="false">"Сумма прописью: "&amp;Параметры!$B$81</f>
        <v>Сумма прописью: Одиннадцать миллионов семьсот шестьдесят две тысячи четыреста рублей 00 копеек</v>
      </c>
      <c r="B19" s="23"/>
      <c r="C19" s="23"/>
      <c r="D19" s="23"/>
      <c r="E19" s="23"/>
      <c r="F19" s="23"/>
    </row>
    <row r="22" customFormat="false" ht="15" hidden="false" customHeight="false" outlineLevel="0" collapsed="false">
      <c r="A22" s="26" t="str">
        <f aca="false">"Руководитель: "&amp;Параметры!$B$49</f>
        <v>Руководитель: Генеральный директор</v>
      </c>
      <c r="B22" s="26"/>
      <c r="C22" s="26"/>
      <c r="E22" s="32" t="str">
        <f aca="false">"__________ /"&amp;Параметры!$B$51&amp;"/"</f>
        <v>__________ /Петров П.П./</v>
      </c>
      <c r="F22" s="32"/>
    </row>
    <row r="24" customFormat="false" ht="15" hidden="false" customHeight="false" outlineLevel="0" collapsed="false">
      <c r="A24" s="26" t="str">
        <f aca="false">"Главный бухгалтер:"</f>
        <v>Главный бухгалтер:</v>
      </c>
      <c r="B24" s="26"/>
      <c r="C24" s="26"/>
      <c r="E24" s="32" t="str">
        <f aca="false">"__________ /"&amp;Параметры!$B$55&amp;"/"</f>
        <v>__________ /Сидорова А.В./</v>
      </c>
      <c r="F24" s="32"/>
    </row>
  </sheetData>
  <mergeCells count="15">
    <mergeCell ref="A1:D1"/>
    <mergeCell ref="A3:D3"/>
    <mergeCell ref="A5:F5"/>
    <mergeCell ref="A7:F7"/>
    <mergeCell ref="A8:F8"/>
    <mergeCell ref="A9:F9"/>
    <mergeCell ref="A14:E14"/>
    <mergeCell ref="A15:E15"/>
    <mergeCell ref="A16:E16"/>
    <mergeCell ref="A18:F18"/>
    <mergeCell ref="A19:F19"/>
    <mergeCell ref="A22:C22"/>
    <mergeCell ref="E22:F22"/>
    <mergeCell ref="A24:C24"/>
    <mergeCell ref="E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7" t="str">
        <f aca="false">Параметры!$B$39</f>
        <v>Общество с ограниченной ответственностью «ЛифтМонтажСервис»</v>
      </c>
      <c r="B1" s="37"/>
      <c r="C1" s="37"/>
      <c r="D1" s="37"/>
    </row>
    <row r="2" customFormat="false" ht="15" hidden="false" customHeight="false" outlineLevel="0" collapsed="false">
      <c r="A2" s="23" t="str">
        <f aca="false">Параметры!$B$44&amp;", тел. "&amp;Параметры!$B$56&amp;", "&amp;Параметры!$B$57</f>
        <v>115280, г. Москва, ул. Ленинская Слобода, д. 19, стр. 2, тел. +7 (495) 987-65-43, office@liftmontag.ru</v>
      </c>
      <c r="B2" s="23"/>
      <c r="C2" s="23"/>
      <c r="D2" s="23"/>
    </row>
    <row r="3" customFormat="false" ht="15" hidden="false" customHeight="false" outlineLevel="0" collapsed="false">
      <c r="A3" s="23" t="str">
        <f aca="false">"ИНН "&amp;Параметры!$B$41&amp;" / КПП "&amp;Параметры!$B$42&amp;", ОГРН "&amp;Параметры!$B$43</f>
        <v>ИНН 7725678901 / КПП 772501001, ОГРН 1187746654321</v>
      </c>
      <c r="B3" s="23"/>
      <c r="C3" s="23"/>
      <c r="D3" s="23"/>
    </row>
    <row r="5" customFormat="false" ht="15" hidden="false" customHeight="false" outlineLevel="0" collapsed="false">
      <c r="A5" s="23" t="str">
        <f aca="false">"Исх. № "&amp;Параметры!$B$76&amp;" от "&amp;TEXT(Параметры!$B$77,"DD.MM.YYYY")</f>
        <v>Исх. № 245 от 01.12.2026</v>
      </c>
      <c r="B5" s="23"/>
    </row>
    <row r="6" customFormat="false" ht="15" hidden="false" customHeight="false" outlineLevel="0" collapsed="false">
      <c r="D6" s="38" t="str">
        <f aca="false">Параметры!$B$32</f>
        <v>Генеральному директору</v>
      </c>
    </row>
    <row r="7" customFormat="false" ht="15" hidden="false" customHeight="false" outlineLevel="0" collapsed="false">
      <c r="D7" s="38" t="str">
        <f aca="false">Параметры!$B$17</f>
        <v>ООО «СЗ «Новый квартал»</v>
      </c>
    </row>
    <row r="8" customFormat="false" ht="15" hidden="false" customHeight="false" outlineLevel="0" collapsed="false">
      <c r="D8" s="39" t="str">
        <f aca="false">Параметры!$B$33</f>
        <v>Иванову И.И.</v>
      </c>
    </row>
    <row r="10" customFormat="false" ht="15" hidden="false" customHeight="false" outlineLevel="0" collapsed="false">
      <c r="A10" s="37" t="str">
        <f aca="false">"О направлении документов по договору № "&amp;Параметры!$B$5&amp;" от "&amp;TEXT(Параметры!$B$6,"DD.MM.YYYY")</f>
        <v>О направлении документов по договору № ПД-14/2026 от 17.07.2026</v>
      </c>
      <c r="B10" s="37"/>
      <c r="C10" s="37"/>
      <c r="D10" s="37"/>
    </row>
    <row r="12" customFormat="false" ht="15" hidden="false" customHeight="false" outlineLevel="0" collapsed="false">
      <c r="A12" s="37" t="str">
        <f aca="false">"Уважаемый "&amp;Параметры!$B$34&amp;"!"</f>
        <v>Уважаемый Иван Иванович!</v>
      </c>
      <c r="B12" s="37"/>
      <c r="C12" s="37"/>
      <c r="D12" s="37"/>
    </row>
    <row r="13" customFormat="false" ht="60" hidden="false" customHeight="true" outlineLevel="0" collapsed="false">
      <c r="A13" s="24" t="str">
        <f aca="false">"В связи с завершением работ по монтажу и пусконаладке лифтового оборудования на объекте: "&amp;Параметры!$B$60&amp;" по адресу: "&amp;Параметры!$B$61&amp;" направляем Вам для рассмотрения и подписания комплект отчётных документов по договору подряда № "&amp;Параметры!$B$5&amp;" от "&amp;TEXT(Параметры!$B$6,"DD.MM.YYYY")&amp;"."</f>
        <v>В связи с завершением работ по монтажу и пусконаладке лифтового оборудования на объекте: Многоквартирный жилой дом, корпус 3 по адресу: г. Москва, ул. Полярная, д. 25, корп. 3 направляем Вам для рассмотрения и подписания комплект отчётных документов по договору подряда № ПД-14/2026 от 17.07.2026.</v>
      </c>
      <c r="B13" s="24"/>
      <c r="C13" s="24"/>
      <c r="D13" s="24"/>
    </row>
    <row r="14" customFormat="false" ht="39.75" hidden="false" customHeight="true" outlineLevel="0" collapsed="false">
      <c r="A14" s="24" t="str">
        <f aca="false">"Просим в течение 5 (пяти) рабочих дней с даты получения подписать документы и вернуть по одному экземпляру в наш адрес либо направить мотивированный отказ от подписания."</f>
        <v>Просим в течение 5 (пяти) рабочих дней с даты получения подписать документы и вернуть по одному экземпляру в наш адрес либо направить мотивированный отказ от подписания.</v>
      </c>
      <c r="B14" s="24"/>
      <c r="C14" s="24"/>
      <c r="D14" s="24"/>
    </row>
    <row r="16" customFormat="false" ht="15" hidden="false" customHeight="false" outlineLevel="0" collapsed="false">
      <c r="A16" s="39" t="s">
        <v>156</v>
      </c>
    </row>
    <row r="17" customFormat="false" ht="15" hidden="false" customHeight="false" outlineLevel="0" collapsed="false">
      <c r="A17" s="23" t="str">
        <f aca="false">"1. Акт о приёмке выполненных работ (КС-2) № "&amp;Параметры!$B$68&amp;" от "&amp;TEXT(Параметры!$B$69,"DD.MM.YYYY")&amp;" — в 2 экз."</f>
        <v>1. Акт о приёмке выполненных работ (КС-2) № 1 от 30.11.2026 — в 2 экз.</v>
      </c>
      <c r="B17" s="23"/>
      <c r="C17" s="23"/>
      <c r="D17" s="23"/>
    </row>
    <row r="18" customFormat="false" ht="15" hidden="false" customHeight="false" outlineLevel="0" collapsed="false">
      <c r="A18" s="23" t="str">
        <f aca="false">"2. Справка о стоимости выполненных работ и затрат (КС-3) № "&amp;Параметры!$B$72&amp;" от "&amp;TEXT(Параметры!$B$73,"DD.MM.YYYY")&amp;" — в 2 экз."</f>
        <v>2. Справка о стоимости выполненных работ и затрат (КС-3) № 1 от 30.11.2026 — в 2 экз.</v>
      </c>
      <c r="B18" s="23"/>
      <c r="C18" s="23"/>
      <c r="D18" s="23"/>
    </row>
    <row r="19" customFormat="false" ht="15" hidden="false" customHeight="false" outlineLevel="0" collapsed="false">
      <c r="A19" s="23" t="str">
        <f aca="false">"3. Счёт на оплату № "&amp;Параметры!$B$74&amp;" от "&amp;TEXT(Параметры!$B$75,"DD.MM.YYYY")&amp;" на сумму "&amp;TEXT('КС-3'!$E$15,"#,##0.00")&amp;" руб. с НДС — в 1 экз."</f>
        <v>3. Счёт на оплату № 118 от 30.11.2026 на сумму 11,762,400.00 руб. с НДС — в 1 экз.</v>
      </c>
      <c r="B19" s="23"/>
      <c r="C19" s="23"/>
      <c r="D19" s="23"/>
    </row>
    <row r="22" customFormat="false" ht="15" hidden="false" customHeight="false" outlineLevel="0" collapsed="false">
      <c r="A22" s="23" t="str">
        <f aca="false">Параметры!$B$49&amp;" "&amp;Параметры!$B$40</f>
        <v>Генеральный директор ООО «ЛифтМонтажСервис»</v>
      </c>
      <c r="B22" s="23"/>
      <c r="D22" s="38" t="str">
        <f aca="false">"_____________ /"&amp;Параметры!$B$51&amp;"/"</f>
        <v>_____________ /Петров П.П./</v>
      </c>
    </row>
  </sheetData>
  <mergeCells count="12">
    <mergeCell ref="A1:D1"/>
    <mergeCell ref="A2:D2"/>
    <mergeCell ref="A3:D3"/>
    <mergeCell ref="A5:B5"/>
    <mergeCell ref="A10:D10"/>
    <mergeCell ref="A12:D12"/>
    <mergeCell ref="A13:D13"/>
    <mergeCell ref="A14:D14"/>
    <mergeCell ref="A17:D17"/>
    <mergeCell ref="A18:D18"/>
    <mergeCell ref="A19:D19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4"/>
  </cols>
  <sheetData>
    <row r="1" customFormat="false" ht="17.35" hidden="false" customHeight="false" outlineLevel="0" collapsed="false">
      <c r="A1" s="40" t="str">
        <f aca="false">"ДОГОВОР ПОДРЯДА № "&amp;Параметры!$B$5</f>
        <v>ДОГОВОР ПОДРЯДА № ПД-14/2026</v>
      </c>
      <c r="B1" s="40"/>
      <c r="C1" s="40"/>
      <c r="D1" s="40"/>
      <c r="E1" s="40"/>
      <c r="F1" s="40"/>
      <c r="G1" s="40"/>
    </row>
    <row r="2" customFormat="false" ht="15" hidden="false" customHeight="false" outlineLevel="0" collapsed="false">
      <c r="A2" s="23" t="str">
        <f aca="false">Параметры!$B$7</f>
        <v>г. Москва</v>
      </c>
      <c r="B2" s="23"/>
      <c r="C2" s="23"/>
      <c r="E2" s="32" t="str">
        <f aca="false">TEXT(Параметры!$B$6,"DD.MM.YYYY")</f>
        <v>17.07.2026</v>
      </c>
      <c r="F2" s="32"/>
      <c r="G2" s="32"/>
    </row>
    <row r="4" customFormat="false" ht="78" hidden="false" customHeight="true" outlineLevel="0" collapsed="false">
      <c r="A4" s="24" t="str">
        <f aca="false">Параметры!$B$16&amp;" (далее — «Заказчик»), в лице "&amp;Параметры!$B$30&amp;" "&amp;Параметры!$B$31&amp;", действующего на основании "&amp;Параметры!$B$29&amp;", с одной стороны, и "&amp;Параметры!$B$39&amp;" (далее — «Подрядчик»), в лице "&amp;Параметры!$B$53&amp;" "&amp;Параметры!$B$54&amp;", действующего на основании "&amp;Параметры!$B$52&amp;", с другой стороны, совместно именуемые «Стороны», заключили настоящий Договор о нижеследующем:"</f>
        <v>Общество с ограниченной ответственностью «Специализированный застройщик «Новый квартал» (далее — «Заказчик»), в лице Генерального директора Иванова Ивана Ивановича, действующего на основании Устава, с одной стороны, и Общество с ограниченной ответственностью «ЛифтМонтажСервис» (далее — «Подрядчик»), в лице Генерального директора Петрова Петра Петровича, действующего на основании Устава, с другой стороны, совместно именуемые «Стороны», заключили настоящий Договор о нижеследующем:</v>
      </c>
      <c r="B4" s="24"/>
      <c r="C4" s="24"/>
      <c r="D4" s="24"/>
      <c r="E4" s="24"/>
      <c r="F4" s="24"/>
      <c r="G4" s="24"/>
    </row>
    <row r="6" customFormat="false" ht="15" hidden="false" customHeight="true" outlineLevel="0" collapsed="false">
      <c r="A6" s="41" t="s">
        <v>157</v>
      </c>
      <c r="B6" s="41"/>
      <c r="C6" s="41"/>
      <c r="D6" s="41"/>
      <c r="E6" s="41"/>
      <c r="F6" s="41"/>
      <c r="G6" s="41"/>
    </row>
    <row r="7" customFormat="false" ht="60" hidden="false" customHeight="true" outlineLevel="0" collapsed="false">
      <c r="A7" s="24" t="str">
        <f aca="false">"1.1. Подрядчик обязуется выполнить комплекс работ по монтажу и пусконаладке лифтового оборудования ("&amp;Параметры!$B$63&amp;", "&amp;Параметры!$B$62&amp;" шт.) на объекте: "&amp;Параметры!$B$60&amp;" по адресу: "&amp;Параметры!$B$61&amp;" (далее — «Объект»), а Заказчик обязуется создать Подрядчику необходимые условия для выполнения работ, принять их результат и уплатить обусловленную Договором цену."</f>
        <v>1.1. Подрядчик обязуется выполнить комплекс работ по монтажу и пусконаладке лифтового оборудования (лифт пассажирский, г/п 630 кг, скорость 1,0 м/с, 9 остановок, 2 шт.) на объекте: Многоквартирный жилой дом, корпус 3 по адресу: г. Москва, ул. Полярная, д. 25, корп. 3 (далее — «Объект»), а Заказчик обязуется создать Подрядчику необходимые условия для выполнения работ, принять их результат и уплатить обусловленную Договором цену.</v>
      </c>
      <c r="B7" s="24"/>
      <c r="C7" s="24"/>
      <c r="D7" s="24"/>
      <c r="E7" s="24"/>
      <c r="F7" s="24"/>
      <c r="G7" s="24"/>
    </row>
    <row r="8" customFormat="false" ht="31.5" hidden="false" customHeight="true" outlineLevel="0" collapsed="false">
      <c r="A8" s="24" t="str">
        <f aca="false">"1.2. Состав, объёмы и стоимость работ определяются Локальной сметой № 1 (Приложение № 1) и Спецификацией № 1 (Приложение № 2), являющимися неотъемлемой частью настоящего Договора."</f>
        <v>1.2. Состав, объёмы и стоимость работ определяются Локальной сметой № 1 (Приложение № 1) и Спецификацией № 1 (Приложение № 2), являющимися неотъемлемой частью настоящего Договора.</v>
      </c>
      <c r="B8" s="24"/>
      <c r="C8" s="24"/>
      <c r="D8" s="24"/>
      <c r="E8" s="24"/>
      <c r="F8" s="24"/>
      <c r="G8" s="24"/>
    </row>
    <row r="10" customFormat="false" ht="15" hidden="false" customHeight="true" outlineLevel="0" collapsed="false">
      <c r="A10" s="41" t="s">
        <v>158</v>
      </c>
      <c r="B10" s="41"/>
      <c r="C10" s="41"/>
      <c r="D10" s="41"/>
      <c r="E10" s="41"/>
      <c r="F10" s="41"/>
      <c r="G10" s="41"/>
    </row>
    <row r="11" customFormat="false" ht="43.5" hidden="false" customHeight="true" outlineLevel="0" collapsed="false">
      <c r="A11" s="24" t="str">
        <f aca="false">"2.1. Цена Договора составляет "&amp;TEXT(КП!$E$14,"#,##0.00")&amp;" ("&amp;Параметры!$B$81&amp;") руб., в том числе НДС ("&amp;TEXT(Параметры!$B$12,"0%")&amp;") — "&amp;TEXT(КП!$D$14,"#,##0.00")&amp;" руб."</f>
        <v>2.1. Цена Договора составляет 11,762,400.00 (Одиннадцать миллионов семьсот шестьдесят две тысячи четыреста рублей 00 копеек) руб., в том числе НДС (20%) — 1,960,400.00 руб.</v>
      </c>
      <c r="B11" s="24"/>
      <c r="C11" s="24"/>
      <c r="D11" s="24"/>
      <c r="E11" s="24"/>
      <c r="F11" s="24"/>
      <c r="G11" s="24"/>
    </row>
    <row r="12" customFormat="false" ht="43.5" hidden="false" customHeight="true" outlineLevel="0" collapsed="false">
      <c r="A12" s="24" t="str">
        <f aca="false">"2.2. Заказчик перечисляет Подрядчику аванс в размере "&amp;TEXT(Параметры!$B$10,"0%")&amp;" от цены Договора, что составляет "&amp;TEXT(КП!$E$14*Параметры!$B$10,"#,##0.00")&amp;" руб., в течение 5 (пяти) банковских дней с даты подписания настоящего Договора."</f>
        <v>2.2. Заказчик перечисляет Подрядчику аванс в размере 30% от цены Договора, что составляет 3,528,720.00 руб., в течение 5 (пяти) банковских дней с даты подписания настоящего Договора.</v>
      </c>
      <c r="B12" s="24"/>
      <c r="C12" s="24"/>
      <c r="D12" s="24"/>
      <c r="E12" s="24"/>
      <c r="F12" s="24"/>
      <c r="G12" s="24"/>
    </row>
    <row r="13" customFormat="false" ht="43.5" hidden="false" customHeight="true" outlineLevel="0" collapsed="false">
      <c r="A13" s="24" t="str">
        <f aca="false">"2.3. Окончательный расчёт производится Заказчиком в течение 10 (десяти) банковских дней после подписания Сторонами акта о приёмке выполненных работ (форма КС-2) и справки о стоимости выполненных работ и затрат (форма КС-3) на основании выставленного Подрядчиком счёта."</f>
        <v>2.3. Окончательный расчёт производится Заказчиком в течение 10 (десяти) банковских дней после подписания Сторонами акта о приёмке выполненных работ (форма КС-2) и справки о стоимости выполненных работ и затрат (форма КС-3) на основании выставленного Подрядчиком счёта.</v>
      </c>
      <c r="B13" s="24"/>
      <c r="C13" s="24"/>
      <c r="D13" s="24"/>
      <c r="E13" s="24"/>
      <c r="F13" s="24"/>
      <c r="G13" s="24"/>
    </row>
    <row r="15" customFormat="false" ht="15" hidden="false" customHeight="true" outlineLevel="0" collapsed="false">
      <c r="A15" s="41" t="s">
        <v>159</v>
      </c>
      <c r="B15" s="41"/>
      <c r="C15" s="41"/>
      <c r="D15" s="41"/>
      <c r="E15" s="41"/>
      <c r="F15" s="41"/>
      <c r="G15" s="41"/>
    </row>
    <row r="16" customFormat="false" ht="15" hidden="false" customHeight="false" outlineLevel="0" collapsed="false">
      <c r="A16" s="24" t="str">
        <f aca="false">"3.1. Начало работ: "&amp;TEXT(Параметры!$B$8,"DD.MM.YYYY")&amp;". Окончание работ: "&amp;TEXT(Параметры!$B$9,"DD.MM.YYYY")&amp;"."</f>
        <v>3.1. Начало работ: 01.08.2026. Окончание работ: 30.11.2026.</v>
      </c>
      <c r="B16" s="24"/>
      <c r="C16" s="24"/>
      <c r="D16" s="24"/>
      <c r="E16" s="24"/>
      <c r="F16" s="24"/>
      <c r="G16" s="24"/>
    </row>
    <row r="17" customFormat="false" ht="30" hidden="false" customHeight="true" outlineLevel="0" collapsed="false">
      <c r="A17" s="24" t="str">
        <f aca="false">"3.2. Сроки выполнения работ могут быть изменены по соглашению Сторон путём подписания дополнительного соглашения к настоящему Договору."</f>
        <v>3.2. Сроки выполнения работ могут быть изменены по соглашению Сторон путём подписания дополнительного соглашения к настоящему Договору.</v>
      </c>
      <c r="B17" s="24"/>
      <c r="C17" s="24"/>
      <c r="D17" s="24"/>
      <c r="E17" s="24"/>
      <c r="F17" s="24"/>
      <c r="G17" s="24"/>
    </row>
    <row r="19" customFormat="false" ht="15" hidden="false" customHeight="true" outlineLevel="0" collapsed="false">
      <c r="A19" s="41" t="s">
        <v>160</v>
      </c>
      <c r="B19" s="41"/>
      <c r="C19" s="41"/>
      <c r="D19" s="41"/>
      <c r="E19" s="41"/>
      <c r="F19" s="41"/>
      <c r="G19" s="41"/>
    </row>
    <row r="20" customFormat="false" ht="43.5" hidden="false" customHeight="true" outlineLevel="0" collapsed="false">
      <c r="A20" s="24" t="str">
        <f aca="false">"4.1. Подрядчик обязуется выполнить работы в соответствии с требованиями ТР ТС 011/2011 «Безопасность лифтов», проектной документацией и условиями настоящего Договора, своими силами, инструментами и механизмами."</f>
        <v>4.1. Подрядчик обязуется выполнить работы в соответствии с требованиями ТР ТС 011/2011 «Безопасность лифтов», проектной документацией и условиями настоящего Договора, своими силами, инструментами и механизмами.</v>
      </c>
      <c r="B20" s="24"/>
      <c r="C20" s="24"/>
      <c r="D20" s="24"/>
      <c r="E20" s="24"/>
      <c r="F20" s="24"/>
      <c r="G20" s="24"/>
    </row>
    <row r="21" customFormat="false" ht="31.5" hidden="false" customHeight="true" outlineLevel="0" collapsed="false">
      <c r="A21" s="24" t="str">
        <f aca="false">"4.2. Подрядчик обязуется обеспечить на Объекте соблюдение требований охраны труда, пожарной безопасности, а также вывоз строительного мусора, образовавшегося в результате выполнения работ."</f>
        <v>4.2. Подрядчик обязуется обеспечить на Объекте соблюдение требований охраны труда, пожарной безопасности, а также вывоз строительного мусора, образовавшегося в результате выполнения работ.</v>
      </c>
      <c r="B21" s="24"/>
      <c r="C21" s="24"/>
      <c r="D21" s="24"/>
      <c r="E21" s="24"/>
      <c r="F21" s="24"/>
      <c r="G21" s="24"/>
    </row>
    <row r="22" customFormat="false" ht="31.5" hidden="false" customHeight="true" outlineLevel="0" collapsed="false">
      <c r="A22" s="24" t="str">
        <f aca="false">"4.3. Заказчик обязуется передать Подрядчику по акту строительную готовность машинных помещений и шахт, обеспечить электроснабжение на период монтажа и допуск персонала Подрядчика на Объект."</f>
        <v>4.3. Заказчик обязуется передать Подрядчику по акту строительную готовность машинных помещений и шахт, обеспечить электроснабжение на период монтажа и допуск персонала Подрядчика на Объект.</v>
      </c>
      <c r="B22" s="24"/>
      <c r="C22" s="24"/>
      <c r="D22" s="24"/>
      <c r="E22" s="24"/>
      <c r="F22" s="24"/>
      <c r="G22" s="24"/>
    </row>
    <row r="23" customFormat="false" ht="30" hidden="false" customHeight="true" outlineLevel="0" collapsed="false">
      <c r="A23" s="24" t="str">
        <f aca="false">"4.4. Заказчик обязуется своевременно принять и оплатить выполненные работы в порядке, установленном разделом 2 настоящего Договора."</f>
        <v>4.4. Заказчик обязуется своевременно принять и оплатить выполненные работы в порядке, установленном разделом 2 настоящего Договора.</v>
      </c>
      <c r="B23" s="24"/>
      <c r="C23" s="24"/>
      <c r="D23" s="24"/>
      <c r="E23" s="24"/>
      <c r="F23" s="24"/>
      <c r="G23" s="24"/>
    </row>
    <row r="25" customFormat="false" ht="15" hidden="false" customHeight="true" outlineLevel="0" collapsed="false">
      <c r="A25" s="41" t="s">
        <v>161</v>
      </c>
      <c r="B25" s="41"/>
      <c r="C25" s="41"/>
      <c r="D25" s="41"/>
      <c r="E25" s="41"/>
      <c r="F25" s="41"/>
      <c r="G25" s="41"/>
    </row>
    <row r="26" customFormat="false" ht="30" hidden="false" customHeight="true" outlineLevel="0" collapsed="false">
      <c r="A26" s="24" t="str">
        <f aca="false">"5.1. По завершении работ Подрядчик передаёт Заказчику акт по форме КС-2, справку по форме КС-3 и исполнительную документацию сопроводительным письмом."</f>
        <v>5.1. По завершении работ Подрядчик передаёт Заказчику акт по форме КС-2, справку по форме КС-3 и исполнительную документацию сопроводительным письмом.</v>
      </c>
      <c r="B26" s="24"/>
      <c r="C26" s="24"/>
      <c r="D26" s="24"/>
      <c r="E26" s="24"/>
      <c r="F26" s="24"/>
      <c r="G26" s="24"/>
    </row>
    <row r="27" customFormat="false" ht="31.5" hidden="false" customHeight="true" outlineLevel="0" collapsed="false">
      <c r="A27" s="24" t="str">
        <f aca="false">"5.2. Заказчик в течение 5 (пяти) рабочих дней с даты получения документов подписывает их либо направляет Подрядчику мотивированный отказ с перечнем замечаний и сроками их устранения."</f>
        <v>5.2. Заказчик в течение 5 (пяти) рабочих дней с даты получения документов подписывает их либо направляет Подрядчику мотивированный отказ с перечнем замечаний и сроками их устранения.</v>
      </c>
      <c r="B27" s="24"/>
      <c r="C27" s="24"/>
      <c r="D27" s="24"/>
      <c r="E27" s="24"/>
      <c r="F27" s="24"/>
      <c r="G27" s="24"/>
    </row>
    <row r="29" customFormat="false" ht="15" hidden="false" customHeight="true" outlineLevel="0" collapsed="false">
      <c r="A29" s="41" t="s">
        <v>162</v>
      </c>
      <c r="B29" s="41"/>
      <c r="C29" s="41"/>
      <c r="D29" s="41"/>
      <c r="E29" s="41"/>
      <c r="F29" s="41"/>
      <c r="G29" s="41"/>
    </row>
    <row r="30" customFormat="false" ht="39.75" hidden="false" customHeight="true" outlineLevel="0" collapsed="false">
      <c r="A30" s="24" t="str">
        <f aca="false">"6.1. Гарантийный срок на выполненные работы составляет "&amp;Параметры!$B$11&amp;" месяца(ев) с даты подписания Сторонами акта по форме КС-2. Гарантия на оборудование — в соответствии с документацией завода-изготовителя."</f>
        <v>6.1. Гарантийный срок на выполненные работы составляет 24 месяца(ев) с даты подписания Сторонами акта по форме КС-2. Гарантия на оборудование — в соответствии с документацией завода-изготовителя.</v>
      </c>
      <c r="B30" s="24"/>
      <c r="C30" s="24"/>
      <c r="D30" s="24"/>
      <c r="E30" s="24"/>
      <c r="F30" s="24"/>
      <c r="G30" s="24"/>
    </row>
    <row r="32" customFormat="false" ht="15" hidden="false" customHeight="true" outlineLevel="0" collapsed="false">
      <c r="A32" s="41" t="s">
        <v>163</v>
      </c>
      <c r="B32" s="41"/>
      <c r="C32" s="41"/>
      <c r="D32" s="41"/>
      <c r="E32" s="41"/>
      <c r="F32" s="41"/>
      <c r="G32" s="41"/>
    </row>
    <row r="33" customFormat="false" ht="51.75" hidden="false" customHeight="true" outlineLevel="0" collapsed="false">
      <c r="A33" s="24" t="str">
        <f aca="false">"7.1. За нарушение сроков выполнения работ Заказчик вправе требовать от Подрядчика уплаты неустойки в размере "&amp;TEXT(Параметры!$B$13,"0.0%")&amp;" от цены Договора за каждый день просрочки, но не более 10% от цены Договора. За нарушение сроков оплаты Подрядчик вправе требовать от Заказчика неустойку в том же размере от неоплаченной суммы."</f>
        <v>7.1. За нарушение сроков выполнения работ Заказчик вправе требовать от Подрядчика уплаты неустойки в размере 0.1% от цены Договора за каждый день просрочки, но не более 10% от цены Договора. За нарушение сроков оплаты Подрядчик вправе требовать от Заказчика неустойку в том же размере от неоплаченной суммы.</v>
      </c>
      <c r="B33" s="24"/>
      <c r="C33" s="24"/>
      <c r="D33" s="24"/>
      <c r="E33" s="24"/>
      <c r="F33" s="24"/>
      <c r="G33" s="24"/>
    </row>
    <row r="35" customFormat="false" ht="15" hidden="false" customHeight="true" outlineLevel="0" collapsed="false">
      <c r="A35" s="41" t="s">
        <v>164</v>
      </c>
      <c r="B35" s="41"/>
      <c r="C35" s="41"/>
      <c r="D35" s="41"/>
      <c r="E35" s="41"/>
      <c r="F35" s="41"/>
      <c r="G35" s="41"/>
    </row>
    <row r="36" customFormat="false" ht="39.75" hidden="false" customHeight="true" outlineLevel="0" collapsed="false">
      <c r="A36" s="24" t="str">
        <f aca="false">"8.1. Споры Сторон разрешаются путём переговоров, а при недостижении согласия — в Арбитражном суде по месту нахождения ответчика с соблюдением претензионного порядка (срок ответа на претензию — 10 рабочих дней)."</f>
        <v>8.1. Споры Сторон разрешаются путём переговоров, а при недостижении согласия — в Арбитражном суде по месту нахождения ответчика с соблюдением претензионного порядка (срок ответа на претензию — 10 рабочих дней).</v>
      </c>
      <c r="B36" s="24"/>
      <c r="C36" s="24"/>
      <c r="D36" s="24"/>
      <c r="E36" s="24"/>
      <c r="F36" s="24"/>
      <c r="G36" s="24"/>
    </row>
    <row r="37" customFormat="false" ht="31.5" hidden="false" customHeight="true" outlineLevel="0" collapsed="false">
      <c r="A37" s="24" t="str">
        <f aca="false">"8.2. Договор составлен в двух экземплярах, имеющих равную юридическую силу, по одному для каждой из Сторон. Приложения: № 1 — Локальная смета № 1; № 2 — Спецификация № 1."</f>
        <v>8.2. Договор составлен в двух экземплярах, имеющих равную юридическую силу, по одному для каждой из Сторон. Приложения: № 1 — Локальная смета № 1; № 2 — Спецификация № 1.</v>
      </c>
      <c r="B37" s="24"/>
      <c r="C37" s="24"/>
      <c r="D37" s="24"/>
      <c r="E37" s="24"/>
      <c r="F37" s="24"/>
      <c r="G37" s="24"/>
    </row>
    <row r="39" customFormat="false" ht="15" hidden="false" customHeight="true" outlineLevel="0" collapsed="false">
      <c r="A39" s="41" t="s">
        <v>165</v>
      </c>
      <c r="B39" s="41"/>
      <c r="C39" s="41"/>
      <c r="D39" s="41"/>
      <c r="E39" s="41"/>
      <c r="F39" s="41"/>
      <c r="G39" s="41"/>
    </row>
    <row r="40" customFormat="false" ht="15" hidden="false" customHeight="false" outlineLevel="0" collapsed="false">
      <c r="A40" s="42" t="str">
        <f aca="false">"ЗАКАЗЧИК:"</f>
        <v>ЗАКАЗЧИК:</v>
      </c>
      <c r="B40" s="42"/>
      <c r="C40" s="42"/>
      <c r="E40" s="42" t="str">
        <f aca="false">"ПОДРЯДЧИК:"</f>
        <v>ПОДРЯДЧИК:</v>
      </c>
      <c r="F40" s="42"/>
      <c r="G40" s="42"/>
    </row>
    <row r="41" customFormat="false" ht="39.75" hidden="false" customHeight="true" outlineLevel="0" collapsed="false">
      <c r="A41" s="43" t="str">
        <f aca="false">Параметры!$B$16</f>
        <v>Общество с ограниченной ответственностью «Специализированный застройщик «Новый квартал»</v>
      </c>
      <c r="B41" s="43"/>
      <c r="C41" s="43"/>
      <c r="E41" s="43" t="str">
        <f aca="false">Параметры!$B$39</f>
        <v>Общество с ограниченной ответственностью «ЛифтМонтажСервис»</v>
      </c>
      <c r="F41" s="43"/>
      <c r="G41" s="43"/>
    </row>
    <row r="42" customFormat="false" ht="15" hidden="false" customHeight="false" outlineLevel="0" collapsed="false">
      <c r="A42" s="43" t="str">
        <f aca="false">"ИНН/КПП: "&amp;Параметры!$B$18&amp;" / "&amp;Параметры!$B$19</f>
        <v>ИНН/КПП: 7701234567 / 770101001</v>
      </c>
      <c r="B42" s="43"/>
      <c r="C42" s="43"/>
      <c r="E42" s="43" t="str">
        <f aca="false">"ИНН/КПП: "&amp;Параметры!$B$41&amp;" / "&amp;Параметры!$B$42</f>
        <v>ИНН/КПП: 7725678901 / 772501001</v>
      </c>
      <c r="F42" s="43"/>
      <c r="G42" s="43"/>
    </row>
    <row r="43" customFormat="false" ht="15" hidden="false" customHeight="false" outlineLevel="0" collapsed="false">
      <c r="A43" s="43" t="str">
        <f aca="false">"ОГРН: "&amp;Параметры!$B$20</f>
        <v>ОГРН: 1157746123456</v>
      </c>
      <c r="B43" s="43"/>
      <c r="C43" s="43"/>
      <c r="E43" s="43" t="str">
        <f aca="false">"ОГРН: "&amp;Параметры!$B$43</f>
        <v>ОГРН: 1187746654321</v>
      </c>
      <c r="F43" s="43"/>
      <c r="G43" s="43"/>
    </row>
    <row r="44" customFormat="false" ht="39.75" hidden="false" customHeight="true" outlineLevel="0" collapsed="false">
      <c r="A44" s="43" t="str">
        <f aca="false">"Адрес: "&amp;Параметры!$B$21</f>
        <v>Адрес: 101000, г. Москва, ул. Мясницкая, д. 10, офис 5</v>
      </c>
      <c r="B44" s="43"/>
      <c r="C44" s="43"/>
      <c r="E44" s="43" t="str">
        <f aca="false">"Адрес: "&amp;Параметры!$B$44</f>
        <v>Адрес: 115280, г. Москва, ул. Ленинская Слобода, д. 19, стр. 2</v>
      </c>
      <c r="F44" s="43"/>
      <c r="G44" s="43"/>
    </row>
    <row r="45" customFormat="false" ht="39.75" hidden="false" customHeight="true" outlineLevel="0" collapsed="false">
      <c r="A45" s="43" t="str">
        <f aca="false">"Банк: "&amp;Параметры!$B$22</f>
        <v>Банк: ПАО «Сбербанк России», г. Москва</v>
      </c>
      <c r="B45" s="43"/>
      <c r="C45" s="43"/>
      <c r="E45" s="43" t="str">
        <f aca="false">"Банк: "&amp;Параметры!$B$45</f>
        <v>Банк: АО «Альфа-Банк», г. Москва</v>
      </c>
      <c r="F45" s="43"/>
      <c r="G45" s="43"/>
    </row>
    <row r="46" customFormat="false" ht="15" hidden="false" customHeight="false" outlineLevel="0" collapsed="false">
      <c r="A46" s="43" t="str">
        <f aca="false">"БИК: "&amp;Параметры!$B$23</f>
        <v>БИК: 044525225</v>
      </c>
      <c r="B46" s="43"/>
      <c r="C46" s="43"/>
      <c r="E46" s="43" t="str">
        <f aca="false">"БИК: "&amp;Параметры!$B$46</f>
        <v>БИК: 044525593</v>
      </c>
      <c r="F46" s="43"/>
      <c r="G46" s="43"/>
    </row>
    <row r="47" customFormat="false" ht="15" hidden="false" customHeight="false" outlineLevel="0" collapsed="false">
      <c r="A47" s="43" t="str">
        <f aca="false">"Р/с: "&amp;Параметры!$B$24</f>
        <v>Р/с: 40702810438000012345</v>
      </c>
      <c r="B47" s="43"/>
      <c r="C47" s="43"/>
      <c r="E47" s="43" t="str">
        <f aca="false">"Р/с: "&amp;Параметры!$B$47</f>
        <v>Р/с: 40702810102300067890</v>
      </c>
      <c r="F47" s="43"/>
      <c r="G47" s="43"/>
    </row>
    <row r="48" customFormat="false" ht="15" hidden="false" customHeight="false" outlineLevel="0" collapsed="false">
      <c r="A48" s="43" t="str">
        <f aca="false">"К/с: "&amp;Параметры!$B$25</f>
        <v>К/с: 30101810400000000225</v>
      </c>
      <c r="B48" s="43"/>
      <c r="C48" s="43"/>
      <c r="E48" s="43" t="str">
        <f aca="false">"К/с: "&amp;Параметры!$B$48</f>
        <v>К/с: 30101810200000000593</v>
      </c>
      <c r="F48" s="43"/>
      <c r="G48" s="43"/>
    </row>
    <row r="49" customFormat="false" ht="15" hidden="false" customHeight="false" outlineLevel="0" collapsed="false">
      <c r="A49" s="43" t="str">
        <f aca="false">"Тел.: "&amp;Параметры!$B$35&amp;", "&amp;Параметры!$B$36</f>
        <v>Тел.: +7 (495) 123-45-67, info@nk-dev.ru</v>
      </c>
      <c r="B49" s="43"/>
      <c r="C49" s="43"/>
      <c r="E49" s="43" t="str">
        <f aca="false">"Тел.: "&amp;Параметры!$B$56&amp;", "&amp;Параметры!$B$57</f>
        <v>Тел.: +7 (495) 987-65-43, office@liftmontag.ru</v>
      </c>
      <c r="F49" s="43"/>
      <c r="G49" s="43"/>
    </row>
    <row r="50" customFormat="false" ht="15" hidden="false" customHeight="false" outlineLevel="0" collapsed="false">
      <c r="A50" s="44"/>
      <c r="B50" s="44"/>
      <c r="C50" s="44"/>
      <c r="E50" s="44"/>
      <c r="F50" s="44"/>
      <c r="G50" s="44"/>
    </row>
    <row r="51" customFormat="false" ht="15" hidden="false" customHeight="false" outlineLevel="0" collapsed="false">
      <c r="A51" s="42" t="str">
        <f aca="false">Параметры!$B$26</f>
        <v>Генеральный директор</v>
      </c>
      <c r="B51" s="42"/>
      <c r="C51" s="42"/>
      <c r="E51" s="42" t="str">
        <f aca="false">Параметры!$B$49</f>
        <v>Генеральный директор</v>
      </c>
      <c r="F51" s="42"/>
      <c r="G51" s="42"/>
    </row>
    <row r="52" customFormat="false" ht="15" hidden="false" customHeight="false" outlineLevel="0" collapsed="false">
      <c r="A52" s="43" t="str">
        <f aca="false">"_____________ /"&amp;Параметры!$B$28&amp;"/"</f>
        <v>_____________ /Иванов И.И./</v>
      </c>
      <c r="B52" s="43"/>
      <c r="C52" s="43"/>
      <c r="E52" s="43" t="str">
        <f aca="false">"_____________ /"&amp;Параметры!$B$51&amp;"/"</f>
        <v>_____________ /Петров П.П./</v>
      </c>
      <c r="F52" s="43"/>
      <c r="G52" s="43"/>
    </row>
    <row r="53" customFormat="false" ht="15" hidden="false" customHeight="false" outlineLevel="0" collapsed="false">
      <c r="A53" s="43" t="str">
        <f aca="false">"М.П."</f>
        <v>М.П.</v>
      </c>
      <c r="B53" s="43"/>
      <c r="C53" s="43"/>
      <c r="E53" s="43" t="str">
        <f aca="false">"М.П."</f>
        <v>М.П.</v>
      </c>
      <c r="F53" s="43"/>
      <c r="G53" s="43"/>
    </row>
  </sheetData>
  <mergeCells count="58">
    <mergeCell ref="A1:G1"/>
    <mergeCell ref="A2:C2"/>
    <mergeCell ref="E2:G2"/>
    <mergeCell ref="A4:G4"/>
    <mergeCell ref="A6:G6"/>
    <mergeCell ref="A7:G7"/>
    <mergeCell ref="A8:G8"/>
    <mergeCell ref="A10:G10"/>
    <mergeCell ref="A11:G11"/>
    <mergeCell ref="A12:G12"/>
    <mergeCell ref="A13:G13"/>
    <mergeCell ref="A15:G15"/>
    <mergeCell ref="A16:G16"/>
    <mergeCell ref="A17:G17"/>
    <mergeCell ref="A19:G19"/>
    <mergeCell ref="A20:G20"/>
    <mergeCell ref="A21:G21"/>
    <mergeCell ref="A22:G22"/>
    <mergeCell ref="A23:G23"/>
    <mergeCell ref="A25:G25"/>
    <mergeCell ref="A26:G26"/>
    <mergeCell ref="A27:G27"/>
    <mergeCell ref="A29:G29"/>
    <mergeCell ref="A30:G30"/>
    <mergeCell ref="A32:G32"/>
    <mergeCell ref="A33:G33"/>
    <mergeCell ref="A35:G35"/>
    <mergeCell ref="A36:G36"/>
    <mergeCell ref="A37:G37"/>
    <mergeCell ref="A39:G39"/>
    <mergeCell ref="A40:C40"/>
    <mergeCell ref="E40:G40"/>
    <mergeCell ref="A41:C41"/>
    <mergeCell ref="E41:G41"/>
    <mergeCell ref="A42:C42"/>
    <mergeCell ref="E42:G42"/>
    <mergeCell ref="A43:C43"/>
    <mergeCell ref="E43:G43"/>
    <mergeCell ref="A44:C44"/>
    <mergeCell ref="E44:G44"/>
    <mergeCell ref="A45:C45"/>
    <mergeCell ref="E45:G45"/>
    <mergeCell ref="A46:C46"/>
    <mergeCell ref="E46:G46"/>
    <mergeCell ref="A47:C47"/>
    <mergeCell ref="E47:G47"/>
    <mergeCell ref="A48:C48"/>
    <mergeCell ref="E48:G48"/>
    <mergeCell ref="A49:C49"/>
    <mergeCell ref="E49:G49"/>
    <mergeCell ref="A50:C50"/>
    <mergeCell ref="E50:G50"/>
    <mergeCell ref="A51:C51"/>
    <mergeCell ref="E51:G51"/>
    <mergeCell ref="A52:C52"/>
    <mergeCell ref="E52:G52"/>
    <mergeCell ref="A53:C53"/>
    <mergeCell ref="E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2026-07-18T20:02:20Z</dcterms:created>
  <dc:creator>openpyxl</dc:creator>
  <dc:description/>
  <dc:language>en-US</dc:language>
  <cp:lastModifiedBy/>
  <dcterms:modified xsi:type="dcterms:W3CDTF">2026-07-18T20:02:20Z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