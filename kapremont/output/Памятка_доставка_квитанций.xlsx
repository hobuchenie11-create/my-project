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МЯТКА" sheetId="1" state="visible" r:id="rId1"/>
    <sheet xmlns:r="http://schemas.openxmlformats.org/officeDocument/2006/relationships" name="СПИСОК КВАРТИР" sheetId="2" state="visible" r:id="rId2"/>
    <sheet xmlns:r="http://schemas.openxmlformats.org/officeDocument/2006/relationships" name="СЛУЖЕБНЫЙ" sheetId="3" state="hidden" r:id="rId3"/>
  </sheets>
  <definedNames>
    <definedName name="СПИСОК_КВАРТИР">'СПИСОК КВАРТИР'!$B$3:$D$82</definedName>
    <definedName name="_xlnm.Print_Area" localSheetId="0">'ПАМЯТКА'!$B$1:$G$50</definedName>
    <definedName name="_xlnm.Print_Area" localSheetId="1">'СПИСОК КВАРТИР'!$B$1:$D$86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0F6B70"/>
      <sz val="13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color rgb="00263238"/>
      <sz val="9"/>
    </font>
    <font>
      <name val="Arial"/>
      <i val="1"/>
      <color rgb="00666666"/>
      <sz val="9"/>
    </font>
    <font>
      <name val="Arial"/>
      <b val="1"/>
      <sz val="9"/>
    </font>
    <font>
      <name val="Arial"/>
      <b val="1"/>
      <color rgb="000F6B70"/>
      <sz val="15"/>
    </font>
    <font>
      <name val="Arial"/>
      <i val="1"/>
      <color rgb="00666666"/>
      <sz val="10"/>
    </font>
    <font>
      <name val="Arial"/>
      <i val="1"/>
      <color rgb="00263238"/>
      <sz val="8.5"/>
    </font>
    <font>
      <name val="Arial"/>
      <color rgb="00263238"/>
      <sz val="9.5"/>
    </font>
    <font>
      <name val="Arial"/>
      <i val="1"/>
      <color rgb="00B00000"/>
      <sz val="8"/>
    </font>
  </fonts>
  <fills count="6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E8F3F3"/>
      </patternFill>
    </fill>
    <fill>
      <patternFill patternType="solid">
        <fgColor rgb="00F3F5F5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0F6B70"/>
      </left>
      <right style="thin">
        <color rgb="00BFBFBF"/>
      </right>
      <top style="medium">
        <color rgb="000F6B70"/>
      </top>
      <bottom style="thin">
        <color rgb="00BFBFBF"/>
      </bottom>
    </border>
    <border>
      <left style="thin">
        <color rgb="00BFBFBF"/>
      </left>
      <right style="medium">
        <color rgb="000F6B70"/>
      </right>
      <top style="medium">
        <color rgb="000F6B70"/>
      </top>
      <bottom style="thin">
        <color rgb="00BFBFBF"/>
      </bottom>
    </border>
    <border>
      <left style="medium">
        <color rgb="000F6B7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0F6B70"/>
      </right>
      <top style="thin">
        <color rgb="00BFBFBF"/>
      </top>
      <bottom style="thin">
        <color rgb="00BFBFBF"/>
      </bottom>
    </border>
    <border>
      <left style="medium">
        <color rgb="000F6B70"/>
      </left>
      <right style="thin">
        <color rgb="00BFBFBF"/>
      </right>
      <top style="thin">
        <color rgb="00BFBFBF"/>
      </top>
      <bottom style="medium">
        <color rgb="000F6B70"/>
      </bottom>
    </border>
    <border>
      <left style="thin">
        <color rgb="00BFBFBF"/>
      </left>
      <right style="medium">
        <color rgb="000F6B70"/>
      </right>
      <top style="thin">
        <color rgb="00BFBFBF"/>
      </top>
      <bottom style="medium">
        <color rgb="000F6B7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11" fillId="5" borderId="4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1" fillId="3" borderId="4" applyAlignment="1" pivotButton="0" quotePrefix="0" xfId="0">
      <alignment horizontal="center" vertical="center"/>
    </xf>
    <xf numFmtId="0" fontId="11" fillId="3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50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.5" customWidth="1" min="8" max="8"/>
  </cols>
  <sheetData>
    <row r="1" ht="8" customHeight="1"/>
    <row r="2" ht="24" customHeight="1">
      <c r="B2" s="1" t="inlineStr">
        <is>
          <t>КОМУ КАКАЯ КВИТАНЦИЯ НУЖНА</t>
        </is>
      </c>
    </row>
    <row r="3" ht="16" customHeight="1">
      <c r="B3" s="2">
        <f>"МКД г. Омск, ул. Магистральная, 2   ·   всего квартир в списке: "&amp;COUNTA('СПИСОК КВАРТИР'!$B$3:$B$82)</f>
        <v/>
      </c>
    </row>
    <row r="4" ht="8" customHeight="1"/>
    <row r="5" ht="30" customHeight="1">
      <c r="B5" s="3" t="inlineStr">
        <is>
          <t>1. НУЖНА БУМАЖНАЯ КВИТАНЦИЯ</t>
        </is>
      </c>
      <c r="C5" s="4" t="n"/>
      <c r="D5" s="3" t="inlineStr">
        <is>
          <t>2. КВИТАНЦИЯ НЕ НУЖНА</t>
        </is>
      </c>
      <c r="E5" s="4" t="n"/>
      <c r="F5" s="3" t="inlineStr">
        <is>
          <t>3. КВИТАНЦИЯ В ЭЛЕКТРОННОМ ВИДЕ</t>
        </is>
      </c>
      <c r="G5" s="4" t="n"/>
    </row>
    <row r="6" ht="24" customHeight="1">
      <c r="B6" s="5" t="inlineStr">
        <is>
          <t>печатаем и разносим по почтовым ящикам</t>
        </is>
      </c>
      <c r="C6" s="6" t="n"/>
      <c r="D6" s="5" t="inlineStr">
        <is>
          <t>платят онлайн по сохранённому шаблону</t>
        </is>
      </c>
      <c r="E6" s="6" t="n"/>
      <c r="F6" s="5" t="inlineStr">
        <is>
          <t>отправляем PDF на электронную почту</t>
        </is>
      </c>
      <c r="G6" s="6" t="n"/>
    </row>
    <row r="7" ht="16" customHeight="1">
      <c r="B7" s="7">
        <f>"Квартир: "&amp;COUNTIF('СПИСОК КВАРТИР'!$C:$C,"Бумажная")</f>
        <v/>
      </c>
      <c r="C7" s="8" t="n"/>
      <c r="D7" s="7">
        <f>"Квартир: "&amp;COUNTIF('СПИСОК КВАРТИР'!$C:$C,"Онлайн")</f>
        <v/>
      </c>
      <c r="E7" s="8" t="n"/>
      <c r="F7" s="7">
        <f>"Квартир: "&amp;COUNTIF('СПИСОК КВАРТИР'!$C:$C,"Электронная")</f>
        <v/>
      </c>
      <c r="G7" s="8" t="n"/>
    </row>
    <row r="8" ht="14" customHeight="1">
      <c r="B8" s="9">
        <f>IFERROR("кв. "&amp;INDEX('СПИСОК КВАРТИР'!$B$3:$B$82,MATCH(1,'СЛУЖЕБНЫЙ'!$A$2:$A$81,0)),"")</f>
        <v/>
      </c>
      <c r="C8" s="10">
        <f>IFERROR("кв. "&amp;INDEX('СПИСОК КВАРТИР'!$B$3:$B$82,MATCH(41,'СЛУЖЕБНЫЙ'!$A$2:$A$81,0)),"")</f>
        <v/>
      </c>
      <c r="D8" s="9">
        <f>IFERROR("кв. "&amp;INDEX('СПИСОК КВАРТИР'!$B$3:$B$82,MATCH(1,'СЛУЖЕБНЫЙ'!$B$2:$B$81,0)),"")</f>
        <v/>
      </c>
      <c r="E8" s="10">
        <f>IFERROR("кв. "&amp;INDEX('СПИСОК КВАРТИР'!$B$3:$B$82,MATCH(41,'СЛУЖЕБНЫЙ'!$B$2:$B$81,0)),"")</f>
        <v/>
      </c>
      <c r="F8" s="9">
        <f>IFERROR("кв. "&amp;INDEX('СПИСОК КВАРТИР'!$B$3:$B$82,MATCH(1,'СЛУЖЕБНЫЙ'!$C$2:$C$81,0)),"")</f>
        <v/>
      </c>
      <c r="G8" s="10">
        <f>IFERROR("кв. "&amp;INDEX('СПИСОК КВАРТИР'!$B$3:$B$82,MATCH(41,'СЛУЖЕБНЫЙ'!$C$2:$C$81,0)),"")</f>
        <v/>
      </c>
    </row>
    <row r="9" ht="14" customHeight="1">
      <c r="B9" s="11">
        <f>IFERROR("кв. "&amp;INDEX('СПИСОК КВАРТИР'!$B$3:$B$82,MATCH(2,'СЛУЖЕБНЫЙ'!$A$2:$A$81,0)),"")</f>
        <v/>
      </c>
      <c r="C9" s="12">
        <f>IFERROR("кв. "&amp;INDEX('СПИСОК КВАРТИР'!$B$3:$B$82,MATCH(42,'СЛУЖЕБНЫЙ'!$A$2:$A$81,0)),"")</f>
        <v/>
      </c>
      <c r="D9" s="11">
        <f>IFERROR("кв. "&amp;INDEX('СПИСОК КВАРТИР'!$B$3:$B$82,MATCH(2,'СЛУЖЕБНЫЙ'!$B$2:$B$81,0)),"")</f>
        <v/>
      </c>
      <c r="E9" s="12">
        <f>IFERROR("кв. "&amp;INDEX('СПИСОК КВАРТИР'!$B$3:$B$82,MATCH(42,'СЛУЖЕБНЫЙ'!$B$2:$B$81,0)),"")</f>
        <v/>
      </c>
      <c r="F9" s="11">
        <f>IFERROR("кв. "&amp;INDEX('СПИСОК КВАРТИР'!$B$3:$B$82,MATCH(2,'СЛУЖЕБНЫЙ'!$C$2:$C$81,0)),"")</f>
        <v/>
      </c>
      <c r="G9" s="12">
        <f>IFERROR("кв. "&amp;INDEX('СПИСОК КВАРТИР'!$B$3:$B$82,MATCH(42,'СЛУЖЕБНЫЙ'!$C$2:$C$81,0)),"")</f>
        <v/>
      </c>
    </row>
    <row r="10" ht="14" customHeight="1">
      <c r="B10" s="9">
        <f>IFERROR("кв. "&amp;INDEX('СПИСОК КВАРТИР'!$B$3:$B$82,MATCH(3,'СЛУЖЕБНЫЙ'!$A$2:$A$81,0)),"")</f>
        <v/>
      </c>
      <c r="C10" s="10">
        <f>IFERROR("кв. "&amp;INDEX('СПИСОК КВАРТИР'!$B$3:$B$82,MATCH(43,'СЛУЖЕБНЫЙ'!$A$2:$A$81,0)),"")</f>
        <v/>
      </c>
      <c r="D10" s="9">
        <f>IFERROR("кв. "&amp;INDEX('СПИСОК КВАРТИР'!$B$3:$B$82,MATCH(3,'СЛУЖЕБНЫЙ'!$B$2:$B$81,0)),"")</f>
        <v/>
      </c>
      <c r="E10" s="10">
        <f>IFERROR("кв. "&amp;INDEX('СПИСОК КВАРТИР'!$B$3:$B$82,MATCH(43,'СЛУЖЕБНЫЙ'!$B$2:$B$81,0)),"")</f>
        <v/>
      </c>
      <c r="F10" s="9">
        <f>IFERROR("кв. "&amp;INDEX('СПИСОК КВАРТИР'!$B$3:$B$82,MATCH(3,'СЛУЖЕБНЫЙ'!$C$2:$C$81,0)),"")</f>
        <v/>
      </c>
      <c r="G10" s="10">
        <f>IFERROR("кв. "&amp;INDEX('СПИСОК КВАРТИР'!$B$3:$B$82,MATCH(43,'СЛУЖЕБНЫЙ'!$C$2:$C$81,0)),"")</f>
        <v/>
      </c>
    </row>
    <row r="11" ht="14" customHeight="1">
      <c r="B11" s="11">
        <f>IFERROR("кв. "&amp;INDEX('СПИСОК КВАРТИР'!$B$3:$B$82,MATCH(4,'СЛУЖЕБНЫЙ'!$A$2:$A$81,0)),"")</f>
        <v/>
      </c>
      <c r="C11" s="12">
        <f>IFERROR("кв. "&amp;INDEX('СПИСОК КВАРТИР'!$B$3:$B$82,MATCH(44,'СЛУЖЕБНЫЙ'!$A$2:$A$81,0)),"")</f>
        <v/>
      </c>
      <c r="D11" s="11">
        <f>IFERROR("кв. "&amp;INDEX('СПИСОК КВАРТИР'!$B$3:$B$82,MATCH(4,'СЛУЖЕБНЫЙ'!$B$2:$B$81,0)),"")</f>
        <v/>
      </c>
      <c r="E11" s="12">
        <f>IFERROR("кв. "&amp;INDEX('СПИСОК КВАРТИР'!$B$3:$B$82,MATCH(44,'СЛУЖЕБНЫЙ'!$B$2:$B$81,0)),"")</f>
        <v/>
      </c>
      <c r="F11" s="11">
        <f>IFERROR("кв. "&amp;INDEX('СПИСОК КВАРТИР'!$B$3:$B$82,MATCH(4,'СЛУЖЕБНЫЙ'!$C$2:$C$81,0)),"")</f>
        <v/>
      </c>
      <c r="G11" s="12">
        <f>IFERROR("кв. "&amp;INDEX('СПИСОК КВАРТИР'!$B$3:$B$82,MATCH(44,'СЛУЖЕБНЫЙ'!$C$2:$C$81,0)),"")</f>
        <v/>
      </c>
    </row>
    <row r="12" ht="14" customHeight="1">
      <c r="B12" s="9">
        <f>IFERROR("кв. "&amp;INDEX('СПИСОК КВАРТИР'!$B$3:$B$82,MATCH(5,'СЛУЖЕБНЫЙ'!$A$2:$A$81,0)),"")</f>
        <v/>
      </c>
      <c r="C12" s="10">
        <f>IFERROR("кв. "&amp;INDEX('СПИСОК КВАРТИР'!$B$3:$B$82,MATCH(45,'СЛУЖЕБНЫЙ'!$A$2:$A$81,0)),"")</f>
        <v/>
      </c>
      <c r="D12" s="9">
        <f>IFERROR("кв. "&amp;INDEX('СПИСОК КВАРТИР'!$B$3:$B$82,MATCH(5,'СЛУЖЕБНЫЙ'!$B$2:$B$81,0)),"")</f>
        <v/>
      </c>
      <c r="E12" s="10">
        <f>IFERROR("кв. "&amp;INDEX('СПИСОК КВАРТИР'!$B$3:$B$82,MATCH(45,'СЛУЖЕБНЫЙ'!$B$2:$B$81,0)),"")</f>
        <v/>
      </c>
      <c r="F12" s="9">
        <f>IFERROR("кв. "&amp;INDEX('СПИСОК КВАРТИР'!$B$3:$B$82,MATCH(5,'СЛУЖЕБНЫЙ'!$C$2:$C$81,0)),"")</f>
        <v/>
      </c>
      <c r="G12" s="10">
        <f>IFERROR("кв. "&amp;INDEX('СПИСОК КВАРТИР'!$B$3:$B$82,MATCH(45,'СЛУЖЕБНЫЙ'!$C$2:$C$81,0)),"")</f>
        <v/>
      </c>
    </row>
    <row r="13" ht="14" customHeight="1">
      <c r="B13" s="11">
        <f>IFERROR("кв. "&amp;INDEX('СПИСОК КВАРТИР'!$B$3:$B$82,MATCH(6,'СЛУЖЕБНЫЙ'!$A$2:$A$81,0)),"")</f>
        <v/>
      </c>
      <c r="C13" s="12">
        <f>IFERROR("кв. "&amp;INDEX('СПИСОК КВАРТИР'!$B$3:$B$82,MATCH(46,'СЛУЖЕБНЫЙ'!$A$2:$A$81,0)),"")</f>
        <v/>
      </c>
      <c r="D13" s="11">
        <f>IFERROR("кв. "&amp;INDEX('СПИСОК КВАРТИР'!$B$3:$B$82,MATCH(6,'СЛУЖЕБНЫЙ'!$B$2:$B$81,0)),"")</f>
        <v/>
      </c>
      <c r="E13" s="12">
        <f>IFERROR("кв. "&amp;INDEX('СПИСОК КВАРТИР'!$B$3:$B$82,MATCH(46,'СЛУЖЕБНЫЙ'!$B$2:$B$81,0)),"")</f>
        <v/>
      </c>
      <c r="F13" s="11">
        <f>IFERROR("кв. "&amp;INDEX('СПИСОК КВАРТИР'!$B$3:$B$82,MATCH(6,'СЛУЖЕБНЫЙ'!$C$2:$C$81,0)),"")</f>
        <v/>
      </c>
      <c r="G13" s="12">
        <f>IFERROR("кв. "&amp;INDEX('СПИСОК КВАРТИР'!$B$3:$B$82,MATCH(46,'СЛУЖЕБНЫЙ'!$C$2:$C$81,0)),"")</f>
        <v/>
      </c>
    </row>
    <row r="14" ht="14" customHeight="1">
      <c r="B14" s="9">
        <f>IFERROR("кв. "&amp;INDEX('СПИСОК КВАРТИР'!$B$3:$B$82,MATCH(7,'СЛУЖЕБНЫЙ'!$A$2:$A$81,0)),"")</f>
        <v/>
      </c>
      <c r="C14" s="10">
        <f>IFERROR("кв. "&amp;INDEX('СПИСОК КВАРТИР'!$B$3:$B$82,MATCH(47,'СЛУЖЕБНЫЙ'!$A$2:$A$81,0)),"")</f>
        <v/>
      </c>
      <c r="D14" s="9">
        <f>IFERROR("кв. "&amp;INDEX('СПИСОК КВАРТИР'!$B$3:$B$82,MATCH(7,'СЛУЖЕБНЫЙ'!$B$2:$B$81,0)),"")</f>
        <v/>
      </c>
      <c r="E14" s="10">
        <f>IFERROR("кв. "&amp;INDEX('СПИСОК КВАРТИР'!$B$3:$B$82,MATCH(47,'СЛУЖЕБНЫЙ'!$B$2:$B$81,0)),"")</f>
        <v/>
      </c>
      <c r="F14" s="9">
        <f>IFERROR("кв. "&amp;INDEX('СПИСОК КВАРТИР'!$B$3:$B$82,MATCH(7,'СЛУЖЕБНЫЙ'!$C$2:$C$81,0)),"")</f>
        <v/>
      </c>
      <c r="G14" s="10">
        <f>IFERROR("кв. "&amp;INDEX('СПИСОК КВАРТИР'!$B$3:$B$82,MATCH(47,'СЛУЖЕБНЫЙ'!$C$2:$C$81,0)),"")</f>
        <v/>
      </c>
    </row>
    <row r="15" ht="14" customHeight="1">
      <c r="B15" s="11">
        <f>IFERROR("кв. "&amp;INDEX('СПИСОК КВАРТИР'!$B$3:$B$82,MATCH(8,'СЛУЖЕБНЫЙ'!$A$2:$A$81,0)),"")</f>
        <v/>
      </c>
      <c r="C15" s="12">
        <f>IFERROR("кв. "&amp;INDEX('СПИСОК КВАРТИР'!$B$3:$B$82,MATCH(48,'СЛУЖЕБНЫЙ'!$A$2:$A$81,0)),"")</f>
        <v/>
      </c>
      <c r="D15" s="11">
        <f>IFERROR("кв. "&amp;INDEX('СПИСОК КВАРТИР'!$B$3:$B$82,MATCH(8,'СЛУЖЕБНЫЙ'!$B$2:$B$81,0)),"")</f>
        <v/>
      </c>
      <c r="E15" s="12">
        <f>IFERROR("кв. "&amp;INDEX('СПИСОК КВАРТИР'!$B$3:$B$82,MATCH(48,'СЛУЖЕБНЫЙ'!$B$2:$B$81,0)),"")</f>
        <v/>
      </c>
      <c r="F15" s="11">
        <f>IFERROR("кв. "&amp;INDEX('СПИСОК КВАРТИР'!$B$3:$B$82,MATCH(8,'СЛУЖЕБНЫЙ'!$C$2:$C$81,0)),"")</f>
        <v/>
      </c>
      <c r="G15" s="12">
        <f>IFERROR("кв. "&amp;INDEX('СПИСОК КВАРТИР'!$B$3:$B$82,MATCH(48,'СЛУЖЕБНЫЙ'!$C$2:$C$81,0)),"")</f>
        <v/>
      </c>
    </row>
    <row r="16" ht="14" customHeight="1">
      <c r="B16" s="9">
        <f>IFERROR("кв. "&amp;INDEX('СПИСОК КВАРТИР'!$B$3:$B$82,MATCH(9,'СЛУЖЕБНЫЙ'!$A$2:$A$81,0)),"")</f>
        <v/>
      </c>
      <c r="C16" s="10">
        <f>IFERROR("кв. "&amp;INDEX('СПИСОК КВАРТИР'!$B$3:$B$82,MATCH(49,'СЛУЖЕБНЫЙ'!$A$2:$A$81,0)),"")</f>
        <v/>
      </c>
      <c r="D16" s="9">
        <f>IFERROR("кв. "&amp;INDEX('СПИСОК КВАРТИР'!$B$3:$B$82,MATCH(9,'СЛУЖЕБНЫЙ'!$B$2:$B$81,0)),"")</f>
        <v/>
      </c>
      <c r="E16" s="10">
        <f>IFERROR("кв. "&amp;INDEX('СПИСОК КВАРТИР'!$B$3:$B$82,MATCH(49,'СЛУЖЕБНЫЙ'!$B$2:$B$81,0)),"")</f>
        <v/>
      </c>
      <c r="F16" s="9">
        <f>IFERROR("кв. "&amp;INDEX('СПИСОК КВАРТИР'!$B$3:$B$82,MATCH(9,'СЛУЖЕБНЫЙ'!$C$2:$C$81,0)),"")</f>
        <v/>
      </c>
      <c r="G16" s="10">
        <f>IFERROR("кв. "&amp;INDEX('СПИСОК КВАРТИР'!$B$3:$B$82,MATCH(49,'СЛУЖЕБНЫЙ'!$C$2:$C$81,0)),"")</f>
        <v/>
      </c>
    </row>
    <row r="17" ht="14" customHeight="1">
      <c r="B17" s="11">
        <f>IFERROR("кв. "&amp;INDEX('СПИСОК КВАРТИР'!$B$3:$B$82,MATCH(10,'СЛУЖЕБНЫЙ'!$A$2:$A$81,0)),"")</f>
        <v/>
      </c>
      <c r="C17" s="12">
        <f>IFERROR("кв. "&amp;INDEX('СПИСОК КВАРТИР'!$B$3:$B$82,MATCH(50,'СЛУЖЕБНЫЙ'!$A$2:$A$81,0)),"")</f>
        <v/>
      </c>
      <c r="D17" s="11">
        <f>IFERROR("кв. "&amp;INDEX('СПИСОК КВАРТИР'!$B$3:$B$82,MATCH(10,'СЛУЖЕБНЫЙ'!$B$2:$B$81,0)),"")</f>
        <v/>
      </c>
      <c r="E17" s="12">
        <f>IFERROR("кв. "&amp;INDEX('СПИСОК КВАРТИР'!$B$3:$B$82,MATCH(50,'СЛУЖЕБНЫЙ'!$B$2:$B$81,0)),"")</f>
        <v/>
      </c>
      <c r="F17" s="11">
        <f>IFERROR("кв. "&amp;INDEX('СПИСОК КВАРТИР'!$B$3:$B$82,MATCH(10,'СЛУЖЕБНЫЙ'!$C$2:$C$81,0)),"")</f>
        <v/>
      </c>
      <c r="G17" s="12">
        <f>IFERROR("кв. "&amp;INDEX('СПИСОК КВАРТИР'!$B$3:$B$82,MATCH(50,'СЛУЖЕБНЫЙ'!$C$2:$C$81,0)),"")</f>
        <v/>
      </c>
    </row>
    <row r="18" ht="14" customHeight="1">
      <c r="B18" s="9">
        <f>IFERROR("кв. "&amp;INDEX('СПИСОК КВАРТИР'!$B$3:$B$82,MATCH(11,'СЛУЖЕБНЫЙ'!$A$2:$A$81,0)),"")</f>
        <v/>
      </c>
      <c r="C18" s="10">
        <f>IFERROR("кв. "&amp;INDEX('СПИСОК КВАРТИР'!$B$3:$B$82,MATCH(51,'СЛУЖЕБНЫЙ'!$A$2:$A$81,0)),"")</f>
        <v/>
      </c>
      <c r="D18" s="9">
        <f>IFERROR("кв. "&amp;INDEX('СПИСОК КВАРТИР'!$B$3:$B$82,MATCH(11,'СЛУЖЕБНЫЙ'!$B$2:$B$81,0)),"")</f>
        <v/>
      </c>
      <c r="E18" s="10">
        <f>IFERROR("кв. "&amp;INDEX('СПИСОК КВАРТИР'!$B$3:$B$82,MATCH(51,'СЛУЖЕБНЫЙ'!$B$2:$B$81,0)),"")</f>
        <v/>
      </c>
      <c r="F18" s="9">
        <f>IFERROR("кв. "&amp;INDEX('СПИСОК КВАРТИР'!$B$3:$B$82,MATCH(11,'СЛУЖЕБНЫЙ'!$C$2:$C$81,0)),"")</f>
        <v/>
      </c>
      <c r="G18" s="10">
        <f>IFERROR("кв. "&amp;INDEX('СПИСОК КВАРТИР'!$B$3:$B$82,MATCH(51,'СЛУЖЕБНЫЙ'!$C$2:$C$81,0)),"")</f>
        <v/>
      </c>
    </row>
    <row r="19" ht="14" customHeight="1">
      <c r="B19" s="11">
        <f>IFERROR("кв. "&amp;INDEX('СПИСОК КВАРТИР'!$B$3:$B$82,MATCH(12,'СЛУЖЕБНЫЙ'!$A$2:$A$81,0)),"")</f>
        <v/>
      </c>
      <c r="C19" s="12">
        <f>IFERROR("кв. "&amp;INDEX('СПИСОК КВАРТИР'!$B$3:$B$82,MATCH(52,'СЛУЖЕБНЫЙ'!$A$2:$A$81,0)),"")</f>
        <v/>
      </c>
      <c r="D19" s="11">
        <f>IFERROR("кв. "&amp;INDEX('СПИСОК КВАРТИР'!$B$3:$B$82,MATCH(12,'СЛУЖЕБНЫЙ'!$B$2:$B$81,0)),"")</f>
        <v/>
      </c>
      <c r="E19" s="12">
        <f>IFERROR("кв. "&amp;INDEX('СПИСОК КВАРТИР'!$B$3:$B$82,MATCH(52,'СЛУЖЕБНЫЙ'!$B$2:$B$81,0)),"")</f>
        <v/>
      </c>
      <c r="F19" s="11">
        <f>IFERROR("кв. "&amp;INDEX('СПИСОК КВАРТИР'!$B$3:$B$82,MATCH(12,'СЛУЖЕБНЫЙ'!$C$2:$C$81,0)),"")</f>
        <v/>
      </c>
      <c r="G19" s="12">
        <f>IFERROR("кв. "&amp;INDEX('СПИСОК КВАРТИР'!$B$3:$B$82,MATCH(52,'СЛУЖЕБНЫЙ'!$C$2:$C$81,0)),"")</f>
        <v/>
      </c>
    </row>
    <row r="20" ht="14" customHeight="1">
      <c r="B20" s="9">
        <f>IFERROR("кв. "&amp;INDEX('СПИСОК КВАРТИР'!$B$3:$B$82,MATCH(13,'СЛУЖЕБНЫЙ'!$A$2:$A$81,0)),"")</f>
        <v/>
      </c>
      <c r="C20" s="10">
        <f>IFERROR("кв. "&amp;INDEX('СПИСОК КВАРТИР'!$B$3:$B$82,MATCH(53,'СЛУЖЕБНЫЙ'!$A$2:$A$81,0)),"")</f>
        <v/>
      </c>
      <c r="D20" s="9">
        <f>IFERROR("кв. "&amp;INDEX('СПИСОК КВАРТИР'!$B$3:$B$82,MATCH(13,'СЛУЖЕБНЫЙ'!$B$2:$B$81,0)),"")</f>
        <v/>
      </c>
      <c r="E20" s="10">
        <f>IFERROR("кв. "&amp;INDEX('СПИСОК КВАРТИР'!$B$3:$B$82,MATCH(53,'СЛУЖЕБНЫЙ'!$B$2:$B$81,0)),"")</f>
        <v/>
      </c>
      <c r="F20" s="9">
        <f>IFERROR("кв. "&amp;INDEX('СПИСОК КВАРТИР'!$B$3:$B$82,MATCH(13,'СЛУЖЕБНЫЙ'!$C$2:$C$81,0)),"")</f>
        <v/>
      </c>
      <c r="G20" s="10">
        <f>IFERROR("кв. "&amp;INDEX('СПИСОК КВАРТИР'!$B$3:$B$82,MATCH(53,'СЛУЖЕБНЫЙ'!$C$2:$C$81,0)),"")</f>
        <v/>
      </c>
    </row>
    <row r="21" ht="14" customHeight="1">
      <c r="B21" s="11">
        <f>IFERROR("кв. "&amp;INDEX('СПИСОК КВАРТИР'!$B$3:$B$82,MATCH(14,'СЛУЖЕБНЫЙ'!$A$2:$A$81,0)),"")</f>
        <v/>
      </c>
      <c r="C21" s="12">
        <f>IFERROR("кв. "&amp;INDEX('СПИСОК КВАРТИР'!$B$3:$B$82,MATCH(54,'СЛУЖЕБНЫЙ'!$A$2:$A$81,0)),"")</f>
        <v/>
      </c>
      <c r="D21" s="11">
        <f>IFERROR("кв. "&amp;INDEX('СПИСОК КВАРТИР'!$B$3:$B$82,MATCH(14,'СЛУЖЕБНЫЙ'!$B$2:$B$81,0)),"")</f>
        <v/>
      </c>
      <c r="E21" s="12">
        <f>IFERROR("кв. "&amp;INDEX('СПИСОК КВАРТИР'!$B$3:$B$82,MATCH(54,'СЛУЖЕБНЫЙ'!$B$2:$B$81,0)),"")</f>
        <v/>
      </c>
      <c r="F21" s="11">
        <f>IFERROR("кв. "&amp;INDEX('СПИСОК КВАРТИР'!$B$3:$B$82,MATCH(14,'СЛУЖЕБНЫЙ'!$C$2:$C$81,0)),"")</f>
        <v/>
      </c>
      <c r="G21" s="12">
        <f>IFERROR("кв. "&amp;INDEX('СПИСОК КВАРТИР'!$B$3:$B$82,MATCH(54,'СЛУЖЕБНЫЙ'!$C$2:$C$81,0)),"")</f>
        <v/>
      </c>
    </row>
    <row r="22" ht="14" customHeight="1">
      <c r="B22" s="9">
        <f>IFERROR("кв. "&amp;INDEX('СПИСОК КВАРТИР'!$B$3:$B$82,MATCH(15,'СЛУЖЕБНЫЙ'!$A$2:$A$81,0)),"")</f>
        <v/>
      </c>
      <c r="C22" s="10">
        <f>IFERROR("кв. "&amp;INDEX('СПИСОК КВАРТИР'!$B$3:$B$82,MATCH(55,'СЛУЖЕБНЫЙ'!$A$2:$A$81,0)),"")</f>
        <v/>
      </c>
      <c r="D22" s="9">
        <f>IFERROR("кв. "&amp;INDEX('СПИСОК КВАРТИР'!$B$3:$B$82,MATCH(15,'СЛУЖЕБНЫЙ'!$B$2:$B$81,0)),"")</f>
        <v/>
      </c>
      <c r="E22" s="10">
        <f>IFERROR("кв. "&amp;INDEX('СПИСОК КВАРТИР'!$B$3:$B$82,MATCH(55,'СЛУЖЕБНЫЙ'!$B$2:$B$81,0)),"")</f>
        <v/>
      </c>
      <c r="F22" s="9">
        <f>IFERROR("кв. "&amp;INDEX('СПИСОК КВАРТИР'!$B$3:$B$82,MATCH(15,'СЛУЖЕБНЫЙ'!$C$2:$C$81,0)),"")</f>
        <v/>
      </c>
      <c r="G22" s="10">
        <f>IFERROR("кв. "&amp;INDEX('СПИСОК КВАРТИР'!$B$3:$B$82,MATCH(55,'СЛУЖЕБНЫЙ'!$C$2:$C$81,0)),"")</f>
        <v/>
      </c>
    </row>
    <row r="23" ht="14" customHeight="1">
      <c r="B23" s="11">
        <f>IFERROR("кв. "&amp;INDEX('СПИСОК КВАРТИР'!$B$3:$B$82,MATCH(16,'СЛУЖЕБНЫЙ'!$A$2:$A$81,0)),"")</f>
        <v/>
      </c>
      <c r="C23" s="12">
        <f>IFERROR("кв. "&amp;INDEX('СПИСОК КВАРТИР'!$B$3:$B$82,MATCH(56,'СЛУЖЕБНЫЙ'!$A$2:$A$81,0)),"")</f>
        <v/>
      </c>
      <c r="D23" s="11">
        <f>IFERROR("кв. "&amp;INDEX('СПИСОК КВАРТИР'!$B$3:$B$82,MATCH(16,'СЛУЖЕБНЫЙ'!$B$2:$B$81,0)),"")</f>
        <v/>
      </c>
      <c r="E23" s="12">
        <f>IFERROR("кв. "&amp;INDEX('СПИСОК КВАРТИР'!$B$3:$B$82,MATCH(56,'СЛУЖЕБНЫЙ'!$B$2:$B$81,0)),"")</f>
        <v/>
      </c>
      <c r="F23" s="11">
        <f>IFERROR("кв. "&amp;INDEX('СПИСОК КВАРТИР'!$B$3:$B$82,MATCH(16,'СЛУЖЕБНЫЙ'!$C$2:$C$81,0)),"")</f>
        <v/>
      </c>
      <c r="G23" s="12">
        <f>IFERROR("кв. "&amp;INDEX('СПИСОК КВАРТИР'!$B$3:$B$82,MATCH(56,'СЛУЖЕБНЫЙ'!$C$2:$C$81,0)),"")</f>
        <v/>
      </c>
    </row>
    <row r="24" ht="14" customHeight="1">
      <c r="B24" s="9">
        <f>IFERROR("кв. "&amp;INDEX('СПИСОК КВАРТИР'!$B$3:$B$82,MATCH(17,'СЛУЖЕБНЫЙ'!$A$2:$A$81,0)),"")</f>
        <v/>
      </c>
      <c r="C24" s="10">
        <f>IFERROR("кв. "&amp;INDEX('СПИСОК КВАРТИР'!$B$3:$B$82,MATCH(57,'СЛУЖЕБНЫЙ'!$A$2:$A$81,0)),"")</f>
        <v/>
      </c>
      <c r="D24" s="9">
        <f>IFERROR("кв. "&amp;INDEX('СПИСОК КВАРТИР'!$B$3:$B$82,MATCH(17,'СЛУЖЕБНЫЙ'!$B$2:$B$81,0)),"")</f>
        <v/>
      </c>
      <c r="E24" s="10">
        <f>IFERROR("кв. "&amp;INDEX('СПИСОК КВАРТИР'!$B$3:$B$82,MATCH(57,'СЛУЖЕБНЫЙ'!$B$2:$B$81,0)),"")</f>
        <v/>
      </c>
      <c r="F24" s="9">
        <f>IFERROR("кв. "&amp;INDEX('СПИСОК КВАРТИР'!$B$3:$B$82,MATCH(17,'СЛУЖЕБНЫЙ'!$C$2:$C$81,0)),"")</f>
        <v/>
      </c>
      <c r="G24" s="10">
        <f>IFERROR("кв. "&amp;INDEX('СПИСОК КВАРТИР'!$B$3:$B$82,MATCH(57,'СЛУЖЕБНЫЙ'!$C$2:$C$81,0)),"")</f>
        <v/>
      </c>
    </row>
    <row r="25" ht="14" customHeight="1">
      <c r="B25" s="11">
        <f>IFERROR("кв. "&amp;INDEX('СПИСОК КВАРТИР'!$B$3:$B$82,MATCH(18,'СЛУЖЕБНЫЙ'!$A$2:$A$81,0)),"")</f>
        <v/>
      </c>
      <c r="C25" s="12">
        <f>IFERROR("кв. "&amp;INDEX('СПИСОК КВАРТИР'!$B$3:$B$82,MATCH(58,'СЛУЖЕБНЫЙ'!$A$2:$A$81,0)),"")</f>
        <v/>
      </c>
      <c r="D25" s="11">
        <f>IFERROR("кв. "&amp;INDEX('СПИСОК КВАРТИР'!$B$3:$B$82,MATCH(18,'СЛУЖЕБНЫЙ'!$B$2:$B$81,0)),"")</f>
        <v/>
      </c>
      <c r="E25" s="12">
        <f>IFERROR("кв. "&amp;INDEX('СПИСОК КВАРТИР'!$B$3:$B$82,MATCH(58,'СЛУЖЕБНЫЙ'!$B$2:$B$81,0)),"")</f>
        <v/>
      </c>
      <c r="F25" s="11">
        <f>IFERROR("кв. "&amp;INDEX('СПИСОК КВАРТИР'!$B$3:$B$82,MATCH(18,'СЛУЖЕБНЫЙ'!$C$2:$C$81,0)),"")</f>
        <v/>
      </c>
      <c r="G25" s="12">
        <f>IFERROR("кв. "&amp;INDEX('СПИСОК КВАРТИР'!$B$3:$B$82,MATCH(58,'СЛУЖЕБНЫЙ'!$C$2:$C$81,0)),"")</f>
        <v/>
      </c>
    </row>
    <row r="26" ht="14" customHeight="1">
      <c r="B26" s="9">
        <f>IFERROR("кв. "&amp;INDEX('СПИСОК КВАРТИР'!$B$3:$B$82,MATCH(19,'СЛУЖЕБНЫЙ'!$A$2:$A$81,0)),"")</f>
        <v/>
      </c>
      <c r="C26" s="10">
        <f>IFERROR("кв. "&amp;INDEX('СПИСОК КВАРТИР'!$B$3:$B$82,MATCH(59,'СЛУЖЕБНЫЙ'!$A$2:$A$81,0)),"")</f>
        <v/>
      </c>
      <c r="D26" s="9">
        <f>IFERROR("кв. "&amp;INDEX('СПИСОК КВАРТИР'!$B$3:$B$82,MATCH(19,'СЛУЖЕБНЫЙ'!$B$2:$B$81,0)),"")</f>
        <v/>
      </c>
      <c r="E26" s="10">
        <f>IFERROR("кв. "&amp;INDEX('СПИСОК КВАРТИР'!$B$3:$B$82,MATCH(59,'СЛУЖЕБНЫЙ'!$B$2:$B$81,0)),"")</f>
        <v/>
      </c>
      <c r="F26" s="9">
        <f>IFERROR("кв. "&amp;INDEX('СПИСОК КВАРТИР'!$B$3:$B$82,MATCH(19,'СЛУЖЕБНЫЙ'!$C$2:$C$81,0)),"")</f>
        <v/>
      </c>
      <c r="G26" s="10">
        <f>IFERROR("кв. "&amp;INDEX('СПИСОК КВАРТИР'!$B$3:$B$82,MATCH(59,'СЛУЖЕБНЫЙ'!$C$2:$C$81,0)),"")</f>
        <v/>
      </c>
    </row>
    <row r="27" ht="14" customHeight="1">
      <c r="B27" s="11">
        <f>IFERROR("кв. "&amp;INDEX('СПИСОК КВАРТИР'!$B$3:$B$82,MATCH(20,'СЛУЖЕБНЫЙ'!$A$2:$A$81,0)),"")</f>
        <v/>
      </c>
      <c r="C27" s="12">
        <f>IFERROR("кв. "&amp;INDEX('СПИСОК КВАРТИР'!$B$3:$B$82,MATCH(60,'СЛУЖЕБНЫЙ'!$A$2:$A$81,0)),"")</f>
        <v/>
      </c>
      <c r="D27" s="11">
        <f>IFERROR("кв. "&amp;INDEX('СПИСОК КВАРТИР'!$B$3:$B$82,MATCH(20,'СЛУЖЕБНЫЙ'!$B$2:$B$81,0)),"")</f>
        <v/>
      </c>
      <c r="E27" s="12">
        <f>IFERROR("кв. "&amp;INDEX('СПИСОК КВАРТИР'!$B$3:$B$82,MATCH(60,'СЛУЖЕБНЫЙ'!$B$2:$B$81,0)),"")</f>
        <v/>
      </c>
      <c r="F27" s="11">
        <f>IFERROR("кв. "&amp;INDEX('СПИСОК КВАРТИР'!$B$3:$B$82,MATCH(20,'СЛУЖЕБНЫЙ'!$C$2:$C$81,0)),"")</f>
        <v/>
      </c>
      <c r="G27" s="12">
        <f>IFERROR("кв. "&amp;INDEX('СПИСОК КВАРТИР'!$B$3:$B$82,MATCH(60,'СЛУЖЕБНЫЙ'!$C$2:$C$81,0)),"")</f>
        <v/>
      </c>
    </row>
    <row r="28" ht="14" customHeight="1">
      <c r="B28" s="9">
        <f>IFERROR("кв. "&amp;INDEX('СПИСОК КВАРТИР'!$B$3:$B$82,MATCH(21,'СЛУЖЕБНЫЙ'!$A$2:$A$81,0)),"")</f>
        <v/>
      </c>
      <c r="C28" s="10">
        <f>IFERROR("кв. "&amp;INDEX('СПИСОК КВАРТИР'!$B$3:$B$82,MATCH(61,'СЛУЖЕБНЫЙ'!$A$2:$A$81,0)),"")</f>
        <v/>
      </c>
      <c r="D28" s="9">
        <f>IFERROR("кв. "&amp;INDEX('СПИСОК КВАРТИР'!$B$3:$B$82,MATCH(21,'СЛУЖЕБНЫЙ'!$B$2:$B$81,0)),"")</f>
        <v/>
      </c>
      <c r="E28" s="10">
        <f>IFERROR("кв. "&amp;INDEX('СПИСОК КВАРТИР'!$B$3:$B$82,MATCH(61,'СЛУЖЕБНЫЙ'!$B$2:$B$81,0)),"")</f>
        <v/>
      </c>
      <c r="F28" s="9">
        <f>IFERROR("кв. "&amp;INDEX('СПИСОК КВАРТИР'!$B$3:$B$82,MATCH(21,'СЛУЖЕБНЫЙ'!$C$2:$C$81,0)),"")</f>
        <v/>
      </c>
      <c r="G28" s="10">
        <f>IFERROR("кв. "&amp;INDEX('СПИСОК КВАРТИР'!$B$3:$B$82,MATCH(61,'СЛУЖЕБНЫЙ'!$C$2:$C$81,0)),"")</f>
        <v/>
      </c>
    </row>
    <row r="29" ht="14" customHeight="1">
      <c r="B29" s="11">
        <f>IFERROR("кв. "&amp;INDEX('СПИСОК КВАРТИР'!$B$3:$B$82,MATCH(22,'СЛУЖЕБНЫЙ'!$A$2:$A$81,0)),"")</f>
        <v/>
      </c>
      <c r="C29" s="12">
        <f>IFERROR("кв. "&amp;INDEX('СПИСОК КВАРТИР'!$B$3:$B$82,MATCH(62,'СЛУЖЕБНЫЙ'!$A$2:$A$81,0)),"")</f>
        <v/>
      </c>
      <c r="D29" s="11">
        <f>IFERROR("кв. "&amp;INDEX('СПИСОК КВАРТИР'!$B$3:$B$82,MATCH(22,'СЛУЖЕБНЫЙ'!$B$2:$B$81,0)),"")</f>
        <v/>
      </c>
      <c r="E29" s="12">
        <f>IFERROR("кв. "&amp;INDEX('СПИСОК КВАРТИР'!$B$3:$B$82,MATCH(62,'СЛУЖЕБНЫЙ'!$B$2:$B$81,0)),"")</f>
        <v/>
      </c>
      <c r="F29" s="11">
        <f>IFERROR("кв. "&amp;INDEX('СПИСОК КВАРТИР'!$B$3:$B$82,MATCH(22,'СЛУЖЕБНЫЙ'!$C$2:$C$81,0)),"")</f>
        <v/>
      </c>
      <c r="G29" s="12">
        <f>IFERROR("кв. "&amp;INDEX('СПИСОК КВАРТИР'!$B$3:$B$82,MATCH(62,'СЛУЖЕБНЫЙ'!$C$2:$C$81,0)),"")</f>
        <v/>
      </c>
    </row>
    <row r="30" ht="14" customHeight="1">
      <c r="B30" s="9">
        <f>IFERROR("кв. "&amp;INDEX('СПИСОК КВАРТИР'!$B$3:$B$82,MATCH(23,'СЛУЖЕБНЫЙ'!$A$2:$A$81,0)),"")</f>
        <v/>
      </c>
      <c r="C30" s="10">
        <f>IFERROR("кв. "&amp;INDEX('СПИСОК КВАРТИР'!$B$3:$B$82,MATCH(63,'СЛУЖЕБНЫЙ'!$A$2:$A$81,0)),"")</f>
        <v/>
      </c>
      <c r="D30" s="9">
        <f>IFERROR("кв. "&amp;INDEX('СПИСОК КВАРТИР'!$B$3:$B$82,MATCH(23,'СЛУЖЕБНЫЙ'!$B$2:$B$81,0)),"")</f>
        <v/>
      </c>
      <c r="E30" s="10">
        <f>IFERROR("кв. "&amp;INDEX('СПИСОК КВАРТИР'!$B$3:$B$82,MATCH(63,'СЛУЖЕБНЫЙ'!$B$2:$B$81,0)),"")</f>
        <v/>
      </c>
      <c r="F30" s="9">
        <f>IFERROR("кв. "&amp;INDEX('СПИСОК КВАРТИР'!$B$3:$B$82,MATCH(23,'СЛУЖЕБНЫЙ'!$C$2:$C$81,0)),"")</f>
        <v/>
      </c>
      <c r="G30" s="10">
        <f>IFERROR("кв. "&amp;INDEX('СПИСОК КВАРТИР'!$B$3:$B$82,MATCH(63,'СЛУЖЕБНЫЙ'!$C$2:$C$81,0)),"")</f>
        <v/>
      </c>
    </row>
    <row r="31" ht="14" customHeight="1">
      <c r="B31" s="11">
        <f>IFERROR("кв. "&amp;INDEX('СПИСОК КВАРТИР'!$B$3:$B$82,MATCH(24,'СЛУЖЕБНЫЙ'!$A$2:$A$81,0)),"")</f>
        <v/>
      </c>
      <c r="C31" s="12">
        <f>IFERROR("кв. "&amp;INDEX('СПИСОК КВАРТИР'!$B$3:$B$82,MATCH(64,'СЛУЖЕБНЫЙ'!$A$2:$A$81,0)),"")</f>
        <v/>
      </c>
      <c r="D31" s="11">
        <f>IFERROR("кв. "&amp;INDEX('СПИСОК КВАРТИР'!$B$3:$B$82,MATCH(24,'СЛУЖЕБНЫЙ'!$B$2:$B$81,0)),"")</f>
        <v/>
      </c>
      <c r="E31" s="12">
        <f>IFERROR("кв. "&amp;INDEX('СПИСОК КВАРТИР'!$B$3:$B$82,MATCH(64,'СЛУЖЕБНЫЙ'!$B$2:$B$81,0)),"")</f>
        <v/>
      </c>
      <c r="F31" s="11">
        <f>IFERROR("кв. "&amp;INDEX('СПИСОК КВАРТИР'!$B$3:$B$82,MATCH(24,'СЛУЖЕБНЫЙ'!$C$2:$C$81,0)),"")</f>
        <v/>
      </c>
      <c r="G31" s="12">
        <f>IFERROR("кв. "&amp;INDEX('СПИСОК КВАРТИР'!$B$3:$B$82,MATCH(64,'СЛУЖЕБНЫЙ'!$C$2:$C$81,0)),"")</f>
        <v/>
      </c>
    </row>
    <row r="32" ht="14" customHeight="1">
      <c r="B32" s="9">
        <f>IFERROR("кв. "&amp;INDEX('СПИСОК КВАРТИР'!$B$3:$B$82,MATCH(25,'СЛУЖЕБНЫЙ'!$A$2:$A$81,0)),"")</f>
        <v/>
      </c>
      <c r="C32" s="10">
        <f>IFERROR("кв. "&amp;INDEX('СПИСОК КВАРТИР'!$B$3:$B$82,MATCH(65,'СЛУЖЕБНЫЙ'!$A$2:$A$81,0)),"")</f>
        <v/>
      </c>
      <c r="D32" s="9">
        <f>IFERROR("кв. "&amp;INDEX('СПИСОК КВАРТИР'!$B$3:$B$82,MATCH(25,'СЛУЖЕБНЫЙ'!$B$2:$B$81,0)),"")</f>
        <v/>
      </c>
      <c r="E32" s="10">
        <f>IFERROR("кв. "&amp;INDEX('СПИСОК КВАРТИР'!$B$3:$B$82,MATCH(65,'СЛУЖЕБНЫЙ'!$B$2:$B$81,0)),"")</f>
        <v/>
      </c>
      <c r="F32" s="9">
        <f>IFERROR("кв. "&amp;INDEX('СПИСОК КВАРТИР'!$B$3:$B$82,MATCH(25,'СЛУЖЕБНЫЙ'!$C$2:$C$81,0)),"")</f>
        <v/>
      </c>
      <c r="G32" s="10">
        <f>IFERROR("кв. "&amp;INDEX('СПИСОК КВАРТИР'!$B$3:$B$82,MATCH(65,'СЛУЖЕБНЫЙ'!$C$2:$C$81,0)),"")</f>
        <v/>
      </c>
    </row>
    <row r="33" ht="14" customHeight="1">
      <c r="B33" s="11">
        <f>IFERROR("кв. "&amp;INDEX('СПИСОК КВАРТИР'!$B$3:$B$82,MATCH(26,'СЛУЖЕБНЫЙ'!$A$2:$A$81,0)),"")</f>
        <v/>
      </c>
      <c r="C33" s="12">
        <f>IFERROR("кв. "&amp;INDEX('СПИСОК КВАРТИР'!$B$3:$B$82,MATCH(66,'СЛУЖЕБНЫЙ'!$A$2:$A$81,0)),"")</f>
        <v/>
      </c>
      <c r="D33" s="11">
        <f>IFERROR("кв. "&amp;INDEX('СПИСОК КВАРТИР'!$B$3:$B$82,MATCH(26,'СЛУЖЕБНЫЙ'!$B$2:$B$81,0)),"")</f>
        <v/>
      </c>
      <c r="E33" s="12">
        <f>IFERROR("кв. "&amp;INDEX('СПИСОК КВАРТИР'!$B$3:$B$82,MATCH(66,'СЛУЖЕБНЫЙ'!$B$2:$B$81,0)),"")</f>
        <v/>
      </c>
      <c r="F33" s="11">
        <f>IFERROR("кв. "&amp;INDEX('СПИСОК КВАРТИР'!$B$3:$B$82,MATCH(26,'СЛУЖЕБНЫЙ'!$C$2:$C$81,0)),"")</f>
        <v/>
      </c>
      <c r="G33" s="12">
        <f>IFERROR("кв. "&amp;INDEX('СПИСОК КВАРТИР'!$B$3:$B$82,MATCH(66,'СЛУЖЕБНЫЙ'!$C$2:$C$81,0)),"")</f>
        <v/>
      </c>
    </row>
    <row r="34" ht="14" customHeight="1">
      <c r="B34" s="9">
        <f>IFERROR("кв. "&amp;INDEX('СПИСОК КВАРТИР'!$B$3:$B$82,MATCH(27,'СЛУЖЕБНЫЙ'!$A$2:$A$81,0)),"")</f>
        <v/>
      </c>
      <c r="C34" s="10">
        <f>IFERROR("кв. "&amp;INDEX('СПИСОК КВАРТИР'!$B$3:$B$82,MATCH(67,'СЛУЖЕБНЫЙ'!$A$2:$A$81,0)),"")</f>
        <v/>
      </c>
      <c r="D34" s="9">
        <f>IFERROR("кв. "&amp;INDEX('СПИСОК КВАРТИР'!$B$3:$B$82,MATCH(27,'СЛУЖЕБНЫЙ'!$B$2:$B$81,0)),"")</f>
        <v/>
      </c>
      <c r="E34" s="10">
        <f>IFERROR("кв. "&amp;INDEX('СПИСОК КВАРТИР'!$B$3:$B$82,MATCH(67,'СЛУЖЕБНЫЙ'!$B$2:$B$81,0)),"")</f>
        <v/>
      </c>
      <c r="F34" s="9">
        <f>IFERROR("кв. "&amp;INDEX('СПИСОК КВАРТИР'!$B$3:$B$82,MATCH(27,'СЛУЖЕБНЫЙ'!$C$2:$C$81,0)),"")</f>
        <v/>
      </c>
      <c r="G34" s="10">
        <f>IFERROR("кв. "&amp;INDEX('СПИСОК КВАРТИР'!$B$3:$B$82,MATCH(67,'СЛУЖЕБНЫЙ'!$C$2:$C$81,0)),"")</f>
        <v/>
      </c>
    </row>
    <row r="35" ht="14" customHeight="1">
      <c r="B35" s="11">
        <f>IFERROR("кв. "&amp;INDEX('СПИСОК КВАРТИР'!$B$3:$B$82,MATCH(28,'СЛУЖЕБНЫЙ'!$A$2:$A$81,0)),"")</f>
        <v/>
      </c>
      <c r="C35" s="12">
        <f>IFERROR("кв. "&amp;INDEX('СПИСОК КВАРТИР'!$B$3:$B$82,MATCH(68,'СЛУЖЕБНЫЙ'!$A$2:$A$81,0)),"")</f>
        <v/>
      </c>
      <c r="D35" s="11">
        <f>IFERROR("кв. "&amp;INDEX('СПИСОК КВАРТИР'!$B$3:$B$82,MATCH(28,'СЛУЖЕБНЫЙ'!$B$2:$B$81,0)),"")</f>
        <v/>
      </c>
      <c r="E35" s="12">
        <f>IFERROR("кв. "&amp;INDEX('СПИСОК КВАРТИР'!$B$3:$B$82,MATCH(68,'СЛУЖЕБНЫЙ'!$B$2:$B$81,0)),"")</f>
        <v/>
      </c>
      <c r="F35" s="11">
        <f>IFERROR("кв. "&amp;INDEX('СПИСОК КВАРТИР'!$B$3:$B$82,MATCH(28,'СЛУЖЕБНЫЙ'!$C$2:$C$81,0)),"")</f>
        <v/>
      </c>
      <c r="G35" s="12">
        <f>IFERROR("кв. "&amp;INDEX('СПИСОК КВАРТИР'!$B$3:$B$82,MATCH(68,'СЛУЖЕБНЫЙ'!$C$2:$C$81,0)),"")</f>
        <v/>
      </c>
    </row>
    <row r="36" ht="14" customHeight="1">
      <c r="B36" s="9">
        <f>IFERROR("кв. "&amp;INDEX('СПИСОК КВАРТИР'!$B$3:$B$82,MATCH(29,'СЛУЖЕБНЫЙ'!$A$2:$A$81,0)),"")</f>
        <v/>
      </c>
      <c r="C36" s="10">
        <f>IFERROR("кв. "&amp;INDEX('СПИСОК КВАРТИР'!$B$3:$B$82,MATCH(69,'СЛУЖЕБНЫЙ'!$A$2:$A$81,0)),"")</f>
        <v/>
      </c>
      <c r="D36" s="9">
        <f>IFERROR("кв. "&amp;INDEX('СПИСОК КВАРТИР'!$B$3:$B$82,MATCH(29,'СЛУЖЕБНЫЙ'!$B$2:$B$81,0)),"")</f>
        <v/>
      </c>
      <c r="E36" s="10">
        <f>IFERROR("кв. "&amp;INDEX('СПИСОК КВАРТИР'!$B$3:$B$82,MATCH(69,'СЛУЖЕБНЫЙ'!$B$2:$B$81,0)),"")</f>
        <v/>
      </c>
      <c r="F36" s="9">
        <f>IFERROR("кв. "&amp;INDEX('СПИСОК КВАРТИР'!$B$3:$B$82,MATCH(29,'СЛУЖЕБНЫЙ'!$C$2:$C$81,0)),"")</f>
        <v/>
      </c>
      <c r="G36" s="10">
        <f>IFERROR("кв. "&amp;INDEX('СПИСОК КВАРТИР'!$B$3:$B$82,MATCH(69,'СЛУЖЕБНЫЙ'!$C$2:$C$81,0)),"")</f>
        <v/>
      </c>
    </row>
    <row r="37" ht="14" customHeight="1">
      <c r="B37" s="11">
        <f>IFERROR("кв. "&amp;INDEX('СПИСОК КВАРТИР'!$B$3:$B$82,MATCH(30,'СЛУЖЕБНЫЙ'!$A$2:$A$81,0)),"")</f>
        <v/>
      </c>
      <c r="C37" s="12">
        <f>IFERROR("кв. "&amp;INDEX('СПИСОК КВАРТИР'!$B$3:$B$82,MATCH(70,'СЛУЖЕБНЫЙ'!$A$2:$A$81,0)),"")</f>
        <v/>
      </c>
      <c r="D37" s="11">
        <f>IFERROR("кв. "&amp;INDEX('СПИСОК КВАРТИР'!$B$3:$B$82,MATCH(30,'СЛУЖЕБНЫЙ'!$B$2:$B$81,0)),"")</f>
        <v/>
      </c>
      <c r="E37" s="12">
        <f>IFERROR("кв. "&amp;INDEX('СПИСОК КВАРТИР'!$B$3:$B$82,MATCH(70,'СЛУЖЕБНЫЙ'!$B$2:$B$81,0)),"")</f>
        <v/>
      </c>
      <c r="F37" s="11">
        <f>IFERROR("кв. "&amp;INDEX('СПИСОК КВАРТИР'!$B$3:$B$82,MATCH(30,'СЛУЖЕБНЫЙ'!$C$2:$C$81,0)),"")</f>
        <v/>
      </c>
      <c r="G37" s="12">
        <f>IFERROR("кв. "&amp;INDEX('СПИСОК КВАРТИР'!$B$3:$B$82,MATCH(70,'СЛУЖЕБНЫЙ'!$C$2:$C$81,0)),"")</f>
        <v/>
      </c>
    </row>
    <row r="38" ht="14" customHeight="1">
      <c r="B38" s="9">
        <f>IFERROR("кв. "&amp;INDEX('СПИСОК КВАРТИР'!$B$3:$B$82,MATCH(31,'СЛУЖЕБНЫЙ'!$A$2:$A$81,0)),"")</f>
        <v/>
      </c>
      <c r="C38" s="10">
        <f>IFERROR("кв. "&amp;INDEX('СПИСОК КВАРТИР'!$B$3:$B$82,MATCH(71,'СЛУЖЕБНЫЙ'!$A$2:$A$81,0)),"")</f>
        <v/>
      </c>
      <c r="D38" s="9">
        <f>IFERROR("кв. "&amp;INDEX('СПИСОК КВАРТИР'!$B$3:$B$82,MATCH(31,'СЛУЖЕБНЫЙ'!$B$2:$B$81,0)),"")</f>
        <v/>
      </c>
      <c r="E38" s="10">
        <f>IFERROR("кв. "&amp;INDEX('СПИСОК КВАРТИР'!$B$3:$B$82,MATCH(71,'СЛУЖЕБНЫЙ'!$B$2:$B$81,0)),"")</f>
        <v/>
      </c>
      <c r="F38" s="9">
        <f>IFERROR("кв. "&amp;INDEX('СПИСОК КВАРТИР'!$B$3:$B$82,MATCH(31,'СЛУЖЕБНЫЙ'!$C$2:$C$81,0)),"")</f>
        <v/>
      </c>
      <c r="G38" s="10">
        <f>IFERROR("кв. "&amp;INDEX('СПИСОК КВАРТИР'!$B$3:$B$82,MATCH(71,'СЛУЖЕБНЫЙ'!$C$2:$C$81,0)),"")</f>
        <v/>
      </c>
    </row>
    <row r="39" ht="14" customHeight="1">
      <c r="B39" s="11">
        <f>IFERROR("кв. "&amp;INDEX('СПИСОК КВАРТИР'!$B$3:$B$82,MATCH(32,'СЛУЖЕБНЫЙ'!$A$2:$A$81,0)),"")</f>
        <v/>
      </c>
      <c r="C39" s="12">
        <f>IFERROR("кв. "&amp;INDEX('СПИСОК КВАРТИР'!$B$3:$B$82,MATCH(72,'СЛУЖЕБНЫЙ'!$A$2:$A$81,0)),"")</f>
        <v/>
      </c>
      <c r="D39" s="11">
        <f>IFERROR("кв. "&amp;INDEX('СПИСОК КВАРТИР'!$B$3:$B$82,MATCH(32,'СЛУЖЕБНЫЙ'!$B$2:$B$81,0)),"")</f>
        <v/>
      </c>
      <c r="E39" s="12">
        <f>IFERROR("кв. "&amp;INDEX('СПИСОК КВАРТИР'!$B$3:$B$82,MATCH(72,'СЛУЖЕБНЫЙ'!$B$2:$B$81,0)),"")</f>
        <v/>
      </c>
      <c r="F39" s="11">
        <f>IFERROR("кв. "&amp;INDEX('СПИСОК КВАРТИР'!$B$3:$B$82,MATCH(32,'СЛУЖЕБНЫЙ'!$C$2:$C$81,0)),"")</f>
        <v/>
      </c>
      <c r="G39" s="12">
        <f>IFERROR("кв. "&amp;INDEX('СПИСОК КВАРТИР'!$B$3:$B$82,MATCH(72,'СЛУЖЕБНЫЙ'!$C$2:$C$81,0)),"")</f>
        <v/>
      </c>
    </row>
    <row r="40" ht="14" customHeight="1">
      <c r="B40" s="9">
        <f>IFERROR("кв. "&amp;INDEX('СПИСОК КВАРТИР'!$B$3:$B$82,MATCH(33,'СЛУЖЕБНЫЙ'!$A$2:$A$81,0)),"")</f>
        <v/>
      </c>
      <c r="C40" s="10">
        <f>IFERROR("кв. "&amp;INDEX('СПИСОК КВАРТИР'!$B$3:$B$82,MATCH(73,'СЛУЖЕБНЫЙ'!$A$2:$A$81,0)),"")</f>
        <v/>
      </c>
      <c r="D40" s="9">
        <f>IFERROR("кв. "&amp;INDEX('СПИСОК КВАРТИР'!$B$3:$B$82,MATCH(33,'СЛУЖЕБНЫЙ'!$B$2:$B$81,0)),"")</f>
        <v/>
      </c>
      <c r="E40" s="10">
        <f>IFERROR("кв. "&amp;INDEX('СПИСОК КВАРТИР'!$B$3:$B$82,MATCH(73,'СЛУЖЕБНЫЙ'!$B$2:$B$81,0)),"")</f>
        <v/>
      </c>
      <c r="F40" s="9">
        <f>IFERROR("кв. "&amp;INDEX('СПИСОК КВАРТИР'!$B$3:$B$82,MATCH(33,'СЛУЖЕБНЫЙ'!$C$2:$C$81,0)),"")</f>
        <v/>
      </c>
      <c r="G40" s="10">
        <f>IFERROR("кв. "&amp;INDEX('СПИСОК КВАРТИР'!$B$3:$B$82,MATCH(73,'СЛУЖЕБНЫЙ'!$C$2:$C$81,0)),"")</f>
        <v/>
      </c>
    </row>
    <row r="41" ht="14" customHeight="1">
      <c r="B41" s="11">
        <f>IFERROR("кв. "&amp;INDEX('СПИСОК КВАРТИР'!$B$3:$B$82,MATCH(34,'СЛУЖЕБНЫЙ'!$A$2:$A$81,0)),"")</f>
        <v/>
      </c>
      <c r="C41" s="12">
        <f>IFERROR("кв. "&amp;INDEX('СПИСОК КВАРТИР'!$B$3:$B$82,MATCH(74,'СЛУЖЕБНЫЙ'!$A$2:$A$81,0)),"")</f>
        <v/>
      </c>
      <c r="D41" s="11">
        <f>IFERROR("кв. "&amp;INDEX('СПИСОК КВАРТИР'!$B$3:$B$82,MATCH(34,'СЛУЖЕБНЫЙ'!$B$2:$B$81,0)),"")</f>
        <v/>
      </c>
      <c r="E41" s="12">
        <f>IFERROR("кв. "&amp;INDEX('СПИСОК КВАРТИР'!$B$3:$B$82,MATCH(74,'СЛУЖЕБНЫЙ'!$B$2:$B$81,0)),"")</f>
        <v/>
      </c>
      <c r="F41" s="11">
        <f>IFERROR("кв. "&amp;INDEX('СПИСОК КВАРТИР'!$B$3:$B$82,MATCH(34,'СЛУЖЕБНЫЙ'!$C$2:$C$81,0)),"")</f>
        <v/>
      </c>
      <c r="G41" s="12">
        <f>IFERROR("кв. "&amp;INDEX('СПИСОК КВАРТИР'!$B$3:$B$82,MATCH(74,'СЛУЖЕБНЫЙ'!$C$2:$C$81,0)),"")</f>
        <v/>
      </c>
    </row>
    <row r="42" ht="14" customHeight="1">
      <c r="B42" s="9">
        <f>IFERROR("кв. "&amp;INDEX('СПИСОК КВАРТИР'!$B$3:$B$82,MATCH(35,'СЛУЖЕБНЫЙ'!$A$2:$A$81,0)),"")</f>
        <v/>
      </c>
      <c r="C42" s="10">
        <f>IFERROR("кв. "&amp;INDEX('СПИСОК КВАРТИР'!$B$3:$B$82,MATCH(75,'СЛУЖЕБНЫЙ'!$A$2:$A$81,0)),"")</f>
        <v/>
      </c>
      <c r="D42" s="9">
        <f>IFERROR("кв. "&amp;INDEX('СПИСОК КВАРТИР'!$B$3:$B$82,MATCH(35,'СЛУЖЕБНЫЙ'!$B$2:$B$81,0)),"")</f>
        <v/>
      </c>
      <c r="E42" s="10">
        <f>IFERROR("кв. "&amp;INDEX('СПИСОК КВАРТИР'!$B$3:$B$82,MATCH(75,'СЛУЖЕБНЫЙ'!$B$2:$B$81,0)),"")</f>
        <v/>
      </c>
      <c r="F42" s="9">
        <f>IFERROR("кв. "&amp;INDEX('СПИСОК КВАРТИР'!$B$3:$B$82,MATCH(35,'СЛУЖЕБНЫЙ'!$C$2:$C$81,0)),"")</f>
        <v/>
      </c>
      <c r="G42" s="10">
        <f>IFERROR("кв. "&amp;INDEX('СПИСОК КВАРТИР'!$B$3:$B$82,MATCH(75,'СЛУЖЕБНЫЙ'!$C$2:$C$81,0)),"")</f>
        <v/>
      </c>
    </row>
    <row r="43" ht="14" customHeight="1">
      <c r="B43" s="11">
        <f>IFERROR("кв. "&amp;INDEX('СПИСОК КВАРТИР'!$B$3:$B$82,MATCH(36,'СЛУЖЕБНЫЙ'!$A$2:$A$81,0)),"")</f>
        <v/>
      </c>
      <c r="C43" s="12">
        <f>IFERROR("кв. "&amp;INDEX('СПИСОК КВАРТИР'!$B$3:$B$82,MATCH(76,'СЛУЖЕБНЫЙ'!$A$2:$A$81,0)),"")</f>
        <v/>
      </c>
      <c r="D43" s="11">
        <f>IFERROR("кв. "&amp;INDEX('СПИСОК КВАРТИР'!$B$3:$B$82,MATCH(36,'СЛУЖЕБНЫЙ'!$B$2:$B$81,0)),"")</f>
        <v/>
      </c>
      <c r="E43" s="12">
        <f>IFERROR("кв. "&amp;INDEX('СПИСОК КВАРТИР'!$B$3:$B$82,MATCH(76,'СЛУЖЕБНЫЙ'!$B$2:$B$81,0)),"")</f>
        <v/>
      </c>
      <c r="F43" s="11">
        <f>IFERROR("кв. "&amp;INDEX('СПИСОК КВАРТИР'!$B$3:$B$82,MATCH(36,'СЛУЖЕБНЫЙ'!$C$2:$C$81,0)),"")</f>
        <v/>
      </c>
      <c r="G43" s="12">
        <f>IFERROR("кв. "&amp;INDEX('СПИСОК КВАРТИР'!$B$3:$B$82,MATCH(76,'СЛУЖЕБНЫЙ'!$C$2:$C$81,0)),"")</f>
        <v/>
      </c>
    </row>
    <row r="44" ht="14" customHeight="1">
      <c r="B44" s="9">
        <f>IFERROR("кв. "&amp;INDEX('СПИСОК КВАРТИР'!$B$3:$B$82,MATCH(37,'СЛУЖЕБНЫЙ'!$A$2:$A$81,0)),"")</f>
        <v/>
      </c>
      <c r="C44" s="10">
        <f>IFERROR("кв. "&amp;INDEX('СПИСОК КВАРТИР'!$B$3:$B$82,MATCH(77,'СЛУЖЕБНЫЙ'!$A$2:$A$81,0)),"")</f>
        <v/>
      </c>
      <c r="D44" s="9">
        <f>IFERROR("кв. "&amp;INDEX('СПИСОК КВАРТИР'!$B$3:$B$82,MATCH(37,'СЛУЖЕБНЫЙ'!$B$2:$B$81,0)),"")</f>
        <v/>
      </c>
      <c r="E44" s="10">
        <f>IFERROR("кв. "&amp;INDEX('СПИСОК КВАРТИР'!$B$3:$B$82,MATCH(77,'СЛУЖЕБНЫЙ'!$B$2:$B$81,0)),"")</f>
        <v/>
      </c>
      <c r="F44" s="9">
        <f>IFERROR("кв. "&amp;INDEX('СПИСОК КВАРТИР'!$B$3:$B$82,MATCH(37,'СЛУЖЕБНЫЙ'!$C$2:$C$81,0)),"")</f>
        <v/>
      </c>
      <c r="G44" s="10">
        <f>IFERROR("кв. "&amp;INDEX('СПИСОК КВАРТИР'!$B$3:$B$82,MATCH(77,'СЛУЖЕБНЫЙ'!$C$2:$C$81,0)),"")</f>
        <v/>
      </c>
    </row>
    <row r="45" ht="14" customHeight="1">
      <c r="B45" s="11">
        <f>IFERROR("кв. "&amp;INDEX('СПИСОК КВАРТИР'!$B$3:$B$82,MATCH(38,'СЛУЖЕБНЫЙ'!$A$2:$A$81,0)),"")</f>
        <v/>
      </c>
      <c r="C45" s="12">
        <f>IFERROR("кв. "&amp;INDEX('СПИСОК КВАРТИР'!$B$3:$B$82,MATCH(78,'СЛУЖЕБНЫЙ'!$A$2:$A$81,0)),"")</f>
        <v/>
      </c>
      <c r="D45" s="11">
        <f>IFERROR("кв. "&amp;INDEX('СПИСОК КВАРТИР'!$B$3:$B$82,MATCH(38,'СЛУЖЕБНЫЙ'!$B$2:$B$81,0)),"")</f>
        <v/>
      </c>
      <c r="E45" s="12">
        <f>IFERROR("кв. "&amp;INDEX('СПИСОК КВАРТИР'!$B$3:$B$82,MATCH(78,'СЛУЖЕБНЫЙ'!$B$2:$B$81,0)),"")</f>
        <v/>
      </c>
      <c r="F45" s="11">
        <f>IFERROR("кв. "&amp;INDEX('СПИСОК КВАРТИР'!$B$3:$B$82,MATCH(38,'СЛУЖЕБНЫЙ'!$C$2:$C$81,0)),"")</f>
        <v/>
      </c>
      <c r="G45" s="12">
        <f>IFERROR("кв. "&amp;INDEX('СПИСОК КВАРТИР'!$B$3:$B$82,MATCH(78,'СЛУЖЕБНЫЙ'!$C$2:$C$81,0)),"")</f>
        <v/>
      </c>
    </row>
    <row r="46" ht="14" customHeight="1">
      <c r="B46" s="9">
        <f>IFERROR("кв. "&amp;INDEX('СПИСОК КВАРТИР'!$B$3:$B$82,MATCH(39,'СЛУЖЕБНЫЙ'!$A$2:$A$81,0)),"")</f>
        <v/>
      </c>
      <c r="C46" s="10">
        <f>IFERROR("кв. "&amp;INDEX('СПИСОК КВАРТИР'!$B$3:$B$82,MATCH(79,'СЛУЖЕБНЫЙ'!$A$2:$A$81,0)),"")</f>
        <v/>
      </c>
      <c r="D46" s="9">
        <f>IFERROR("кв. "&amp;INDEX('СПИСОК КВАРТИР'!$B$3:$B$82,MATCH(39,'СЛУЖЕБНЫЙ'!$B$2:$B$81,0)),"")</f>
        <v/>
      </c>
      <c r="E46" s="10">
        <f>IFERROR("кв. "&amp;INDEX('СПИСОК КВАРТИР'!$B$3:$B$82,MATCH(79,'СЛУЖЕБНЫЙ'!$B$2:$B$81,0)),"")</f>
        <v/>
      </c>
      <c r="F46" s="9">
        <f>IFERROR("кв. "&amp;INDEX('СПИСОК КВАРТИР'!$B$3:$B$82,MATCH(39,'СЛУЖЕБНЫЙ'!$C$2:$C$81,0)),"")</f>
        <v/>
      </c>
      <c r="G46" s="10">
        <f>IFERROR("кв. "&amp;INDEX('СПИСОК КВАРТИР'!$B$3:$B$82,MATCH(79,'СЛУЖЕБНЫЙ'!$C$2:$C$81,0)),"")</f>
        <v/>
      </c>
    </row>
    <row r="47" ht="14" customHeight="1">
      <c r="B47" s="11">
        <f>IFERROR("кв. "&amp;INDEX('СПИСОК КВАРТИР'!$B$3:$B$82,MATCH(40,'СЛУЖЕБНЫЙ'!$A$2:$A$81,0)),"")</f>
        <v/>
      </c>
      <c r="C47" s="12">
        <f>IFERROR("кв. "&amp;INDEX('СПИСОК КВАРТИР'!$B$3:$B$82,MATCH(80,'СЛУЖЕБНЫЙ'!$A$2:$A$81,0)),"")</f>
        <v/>
      </c>
      <c r="D47" s="11">
        <f>IFERROR("кв. "&amp;INDEX('СПИСОК КВАРТИР'!$B$3:$B$82,MATCH(40,'СЛУЖЕБНЫЙ'!$B$2:$B$81,0)),"")</f>
        <v/>
      </c>
      <c r="E47" s="12">
        <f>IFERROR("кв. "&amp;INDEX('СПИСОК КВАРТИР'!$B$3:$B$82,MATCH(80,'СЛУЖЕБНЫЙ'!$B$2:$B$81,0)),"")</f>
        <v/>
      </c>
      <c r="F47" s="11">
        <f>IFERROR("кв. "&amp;INDEX('СПИСОК КВАРТИР'!$B$3:$B$82,MATCH(40,'СЛУЖЕБНЫЙ'!$C$2:$C$81,0)),"")</f>
        <v/>
      </c>
      <c r="G47" s="12">
        <f>IFERROR("кв. "&amp;INDEX('СПИСОК КВАРТИР'!$B$3:$B$82,MATCH(80,'СЛУЖЕБНЫЙ'!$C$2:$C$81,0)),"")</f>
        <v/>
      </c>
    </row>
    <row r="48" ht="14" customHeight="1">
      <c r="B48" s="13">
        <f>IF(COUNTIF('СПИСОК КВАРТИР'!$C:$C,"Бумажная")&gt;80,"…и ещё "&amp;(COUNTIF('СПИСОК КВАРТИР'!$C:$C,"Бумажная")-80)&amp;" — см. лист «СПИСОК КВАРТИР»","")</f>
        <v/>
      </c>
      <c r="C48" s="14" t="n"/>
      <c r="D48" s="13">
        <f>IF(COUNTIF('СПИСОК КВАРТИР'!$C:$C,"Онлайн")&gt;80,"…и ещё "&amp;(COUNTIF('СПИСОК КВАРТИР'!$C:$C,"Онлайн")-80)&amp;" — см. лист «СПИСОК КВАРТИР»","")</f>
        <v/>
      </c>
      <c r="E48" s="14" t="n"/>
      <c r="F48" s="13">
        <f>IF(COUNTIF('СПИСОК КВАРТИР'!$C:$C,"Электронная")&gt;80,"…и ещё "&amp;(COUNTIF('СПИСОК КВАРТИР'!$C:$C,"Электронная")-80)&amp;" — см. лист «СПИСОК КВАРТИР»","")</f>
        <v/>
      </c>
      <c r="G48" s="14" t="n"/>
    </row>
    <row r="50" ht="28" customHeight="1">
      <c r="B50" s="15">
        <f>"Статус меняется на листе «СПИСОК КВАРТИР» — квартира сама перейдёт в нужный столбец. Памятка обновлена: "&amp;TEXT(DAY(TODAY()),"00")&amp;"."&amp;TEXT(MONTH(TODAY()),"00")&amp;"."&amp;YEAR(TODAY())</f>
        <v/>
      </c>
    </row>
  </sheetData>
  <mergeCells count="15">
    <mergeCell ref="B3:G3"/>
    <mergeCell ref="B2:G2"/>
    <mergeCell ref="B6:C6"/>
    <mergeCell ref="D6:E6"/>
    <mergeCell ref="B48:C48"/>
    <mergeCell ref="D7:E7"/>
    <mergeCell ref="B7:C7"/>
    <mergeCell ref="F48:G48"/>
    <mergeCell ref="B5:C5"/>
    <mergeCell ref="F5:G5"/>
    <mergeCell ref="D5:E5"/>
    <mergeCell ref="B50:G50"/>
    <mergeCell ref="F6:G6"/>
    <mergeCell ref="D48:E48"/>
    <mergeCell ref="F7:G7"/>
  </mergeCells>
  <printOptions horizontalCentered="1"/>
  <pageMargins left="0.39" right="0.39" top="0.39" bottom="0.39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8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</cols>
  <sheetData>
    <row r="1" ht="24" customHeight="1">
      <c r="B1" s="16" t="inlineStr">
        <is>
          <t>СПИСОК КВАРТИР — ЗДЕСЬ МЕНЯЕМ СТАТУС</t>
        </is>
      </c>
    </row>
    <row r="2" ht="30" customHeight="1">
      <c r="B2" s="17" t="inlineStr">
        <is>
          <t>Квартира</t>
        </is>
      </c>
      <c r="C2" s="17" t="inlineStr">
        <is>
          <t>Статус</t>
        </is>
      </c>
      <c r="D2" s="17" t="inlineStr">
        <is>
          <t>Примечание (собственник, почта, договорённости)</t>
        </is>
      </c>
    </row>
    <row r="3" ht="17" customHeight="1">
      <c r="B3" s="18" t="n">
        <v>1</v>
      </c>
      <c r="C3" s="19" t="inlineStr">
        <is>
          <t>Бумажная</t>
        </is>
      </c>
      <c r="D3" s="20" t="n"/>
    </row>
    <row r="4" ht="17" customHeight="1">
      <c r="B4" s="18" t="n">
        <v>2</v>
      </c>
      <c r="C4" s="19" t="inlineStr">
        <is>
          <t>Бумажная</t>
        </is>
      </c>
      <c r="D4" s="20" t="n"/>
    </row>
    <row r="5" ht="17" customHeight="1">
      <c r="B5" s="18" t="n">
        <v>3</v>
      </c>
      <c r="C5" s="19" t="inlineStr">
        <is>
          <t>Бумажная</t>
        </is>
      </c>
      <c r="D5" s="20" t="n"/>
    </row>
    <row r="6" ht="17" customHeight="1">
      <c r="B6" s="18" t="n">
        <v>4</v>
      </c>
      <c r="C6" s="19" t="inlineStr">
        <is>
          <t>Бумажная</t>
        </is>
      </c>
      <c r="D6" s="20" t="n"/>
    </row>
    <row r="7" ht="17" customHeight="1">
      <c r="B7" s="18" t="n">
        <v>5</v>
      </c>
      <c r="C7" s="19" t="inlineStr">
        <is>
          <t>Бумажная</t>
        </is>
      </c>
      <c r="D7" s="20" t="n"/>
    </row>
    <row r="8" ht="17" customHeight="1">
      <c r="B8" s="18" t="n">
        <v>6</v>
      </c>
      <c r="C8" s="19" t="inlineStr">
        <is>
          <t>Бумажная</t>
        </is>
      </c>
      <c r="D8" s="20" t="n"/>
    </row>
    <row r="9" ht="17" customHeight="1">
      <c r="B9" s="18" t="n">
        <v>7</v>
      </c>
      <c r="C9" s="19" t="inlineStr">
        <is>
          <t>Бумажная</t>
        </is>
      </c>
      <c r="D9" s="20" t="n"/>
    </row>
    <row r="10" ht="17" customHeight="1">
      <c r="B10" s="18" t="n">
        <v>8</v>
      </c>
      <c r="C10" s="19" t="inlineStr">
        <is>
          <t>Бумажная</t>
        </is>
      </c>
      <c r="D10" s="20" t="n"/>
    </row>
    <row r="11" ht="17" customHeight="1">
      <c r="B11" s="18" t="n">
        <v>9</v>
      </c>
      <c r="C11" s="19" t="inlineStr">
        <is>
          <t>Бумажная</t>
        </is>
      </c>
      <c r="D11" s="20" t="n"/>
    </row>
    <row r="12" ht="17" customHeight="1">
      <c r="B12" s="18" t="n">
        <v>10</v>
      </c>
      <c r="C12" s="19" t="inlineStr">
        <is>
          <t>Бумажная</t>
        </is>
      </c>
      <c r="D12" s="20" t="n"/>
    </row>
    <row r="13" ht="17" customHeight="1">
      <c r="B13" s="18" t="n">
        <v>11</v>
      </c>
      <c r="C13" s="19" t="inlineStr">
        <is>
          <t>Бумажная</t>
        </is>
      </c>
      <c r="D13" s="20" t="n"/>
    </row>
    <row r="14" ht="17" customHeight="1">
      <c r="B14" s="18" t="n">
        <v>12</v>
      </c>
      <c r="C14" s="19" t="inlineStr">
        <is>
          <t>Бумажная</t>
        </is>
      </c>
      <c r="D14" s="20" t="n"/>
    </row>
    <row r="15" ht="17" customHeight="1">
      <c r="B15" s="18" t="n">
        <v>13</v>
      </c>
      <c r="C15" s="19" t="inlineStr">
        <is>
          <t>Бумажная</t>
        </is>
      </c>
      <c r="D15" s="20" t="n"/>
    </row>
    <row r="16" ht="17" customHeight="1">
      <c r="B16" s="18" t="n">
        <v>14</v>
      </c>
      <c r="C16" s="19" t="inlineStr">
        <is>
          <t>Бумажная</t>
        </is>
      </c>
      <c r="D16" s="20" t="n"/>
    </row>
    <row r="17" ht="17" customHeight="1">
      <c r="B17" s="18" t="n">
        <v>15</v>
      </c>
      <c r="C17" s="19" t="inlineStr">
        <is>
          <t>Бумажная</t>
        </is>
      </c>
      <c r="D17" s="20" t="n"/>
    </row>
    <row r="18" ht="17" customHeight="1">
      <c r="B18" s="18" t="n">
        <v>16</v>
      </c>
      <c r="C18" s="19" t="inlineStr">
        <is>
          <t>Бумажная</t>
        </is>
      </c>
      <c r="D18" s="20" t="n"/>
    </row>
    <row r="19" ht="17" customHeight="1">
      <c r="B19" s="18" t="n">
        <v>17</v>
      </c>
      <c r="C19" s="19" t="inlineStr">
        <is>
          <t>Бумажная</t>
        </is>
      </c>
      <c r="D19" s="20" t="n"/>
    </row>
    <row r="20" ht="17" customHeight="1">
      <c r="B20" s="18" t="n">
        <v>18</v>
      </c>
      <c r="C20" s="19" t="inlineStr">
        <is>
          <t>Бумажная</t>
        </is>
      </c>
      <c r="D20" s="20" t="n"/>
    </row>
    <row r="21" ht="17" customHeight="1">
      <c r="B21" s="18" t="n">
        <v>19</v>
      </c>
      <c r="C21" s="19" t="inlineStr">
        <is>
          <t>Бумажная</t>
        </is>
      </c>
      <c r="D21" s="20" t="n"/>
    </row>
    <row r="22" ht="17" customHeight="1">
      <c r="B22" s="18" t="n">
        <v>20</v>
      </c>
      <c r="C22" s="19" t="inlineStr">
        <is>
          <t>Бумажная</t>
        </is>
      </c>
      <c r="D22" s="20" t="n"/>
    </row>
    <row r="23" ht="17" customHeight="1">
      <c r="B23" s="18" t="n">
        <v>21</v>
      </c>
      <c r="C23" s="19" t="inlineStr">
        <is>
          <t>Бумажная</t>
        </is>
      </c>
      <c r="D23" s="20" t="n"/>
    </row>
    <row r="24" ht="17" customHeight="1">
      <c r="B24" s="18" t="n">
        <v>22</v>
      </c>
      <c r="C24" s="19" t="inlineStr">
        <is>
          <t>Бумажная</t>
        </is>
      </c>
      <c r="D24" s="20" t="n"/>
    </row>
    <row r="25" ht="17" customHeight="1">
      <c r="B25" s="18" t="n">
        <v>23</v>
      </c>
      <c r="C25" s="19" t="inlineStr">
        <is>
          <t>Бумажная</t>
        </is>
      </c>
      <c r="D25" s="20" t="n"/>
    </row>
    <row r="26" ht="17" customHeight="1">
      <c r="B26" s="18" t="n">
        <v>24</v>
      </c>
      <c r="C26" s="19" t="inlineStr">
        <is>
          <t>Бумажная</t>
        </is>
      </c>
      <c r="D26" s="20" t="n"/>
    </row>
    <row r="27" ht="17" customHeight="1">
      <c r="B27" s="18" t="n">
        <v>25</v>
      </c>
      <c r="C27" s="19" t="inlineStr">
        <is>
          <t>Бумажная</t>
        </is>
      </c>
      <c r="D27" s="20" t="n"/>
    </row>
    <row r="28" ht="17" customHeight="1">
      <c r="B28" s="18" t="n">
        <v>26</v>
      </c>
      <c r="C28" s="19" t="inlineStr">
        <is>
          <t>Бумажная</t>
        </is>
      </c>
      <c r="D28" s="20" t="n"/>
    </row>
    <row r="29" ht="17" customHeight="1">
      <c r="B29" s="18" t="n">
        <v>27</v>
      </c>
      <c r="C29" s="19" t="inlineStr">
        <is>
          <t>Бумажная</t>
        </is>
      </c>
      <c r="D29" s="20" t="n"/>
    </row>
    <row r="30" ht="17" customHeight="1">
      <c r="B30" s="18" t="n">
        <v>28</v>
      </c>
      <c r="C30" s="19" t="inlineStr">
        <is>
          <t>Бумажная</t>
        </is>
      </c>
      <c r="D30" s="20" t="n"/>
    </row>
    <row r="31" ht="17" customHeight="1">
      <c r="B31" s="18" t="n">
        <v>29</v>
      </c>
      <c r="C31" s="19" t="inlineStr">
        <is>
          <t>Бумажная</t>
        </is>
      </c>
      <c r="D31" s="20" t="n"/>
    </row>
    <row r="32" ht="17" customHeight="1">
      <c r="B32" s="18" t="n">
        <v>30</v>
      </c>
      <c r="C32" s="19" t="inlineStr">
        <is>
          <t>Бумажная</t>
        </is>
      </c>
      <c r="D32" s="20" t="n"/>
    </row>
    <row r="33" ht="17" customHeight="1">
      <c r="B33" s="18" t="n">
        <v>31</v>
      </c>
      <c r="C33" s="19" t="inlineStr">
        <is>
          <t>Бумажная</t>
        </is>
      </c>
      <c r="D33" s="20" t="n"/>
    </row>
    <row r="34" ht="17" customHeight="1">
      <c r="B34" s="18" t="n">
        <v>32</v>
      </c>
      <c r="C34" s="19" t="inlineStr">
        <is>
          <t>Бумажная</t>
        </is>
      </c>
      <c r="D34" s="20" t="n"/>
    </row>
    <row r="35" ht="17" customHeight="1">
      <c r="B35" s="18" t="n">
        <v>33</v>
      </c>
      <c r="C35" s="19" t="inlineStr">
        <is>
          <t>Бумажная</t>
        </is>
      </c>
      <c r="D35" s="20" t="n"/>
    </row>
    <row r="36" ht="17" customHeight="1">
      <c r="B36" s="18" t="n">
        <v>34</v>
      </c>
      <c r="C36" s="19" t="inlineStr">
        <is>
          <t>Бумажная</t>
        </is>
      </c>
      <c r="D36" s="20" t="n"/>
    </row>
    <row r="37" ht="17" customHeight="1">
      <c r="B37" s="18" t="n">
        <v>35</v>
      </c>
      <c r="C37" s="19" t="inlineStr">
        <is>
          <t>Бумажная</t>
        </is>
      </c>
      <c r="D37" s="20" t="n"/>
    </row>
    <row r="38" ht="17" customHeight="1">
      <c r="B38" s="18" t="n">
        <v>36</v>
      </c>
      <c r="C38" s="19" t="inlineStr">
        <is>
          <t>Бумажная</t>
        </is>
      </c>
      <c r="D38" s="20" t="n"/>
    </row>
    <row r="39" ht="17" customHeight="1">
      <c r="B39" s="18" t="n">
        <v>37</v>
      </c>
      <c r="C39" s="19" t="inlineStr">
        <is>
          <t>Бумажная</t>
        </is>
      </c>
      <c r="D39" s="20" t="n"/>
    </row>
    <row r="40" ht="17" customHeight="1">
      <c r="B40" s="18" t="n">
        <v>38</v>
      </c>
      <c r="C40" s="19" t="inlineStr">
        <is>
          <t>Бумажная</t>
        </is>
      </c>
      <c r="D40" s="20" t="n"/>
    </row>
    <row r="41" ht="17" customHeight="1">
      <c r="B41" s="18" t="n">
        <v>39</v>
      </c>
      <c r="C41" s="19" t="inlineStr">
        <is>
          <t>Бумажная</t>
        </is>
      </c>
      <c r="D41" s="20" t="n"/>
    </row>
    <row r="42" ht="17" customHeight="1">
      <c r="B42" s="18" t="n">
        <v>40</v>
      </c>
      <c r="C42" s="19" t="inlineStr">
        <is>
          <t>Бумажная</t>
        </is>
      </c>
      <c r="D42" s="20" t="n"/>
    </row>
    <row r="43" ht="17" customHeight="1">
      <c r="B43" s="18" t="n">
        <v>41</v>
      </c>
      <c r="C43" s="19" t="inlineStr">
        <is>
          <t>Бумажная</t>
        </is>
      </c>
      <c r="D43" s="20" t="n"/>
    </row>
    <row r="44" ht="17" customHeight="1">
      <c r="B44" s="18" t="n">
        <v>42</v>
      </c>
      <c r="C44" s="19" t="inlineStr">
        <is>
          <t>Бумажная</t>
        </is>
      </c>
      <c r="D44" s="20" t="n"/>
    </row>
    <row r="45" ht="17" customHeight="1">
      <c r="B45" s="18" t="n">
        <v>43</v>
      </c>
      <c r="C45" s="19" t="inlineStr">
        <is>
          <t>Бумажная</t>
        </is>
      </c>
      <c r="D45" s="20" t="n"/>
    </row>
    <row r="46" ht="17" customHeight="1">
      <c r="B46" s="18" t="n">
        <v>44</v>
      </c>
      <c r="C46" s="19" t="inlineStr">
        <is>
          <t>Бумажная</t>
        </is>
      </c>
      <c r="D46" s="20" t="n"/>
    </row>
    <row r="47" ht="17" customHeight="1">
      <c r="B47" s="18" t="n">
        <v>45</v>
      </c>
      <c r="C47" s="19" t="inlineStr">
        <is>
          <t>Бумажная</t>
        </is>
      </c>
      <c r="D47" s="20" t="n"/>
    </row>
    <row r="48" ht="17" customHeight="1">
      <c r="B48" s="18" t="n">
        <v>46</v>
      </c>
      <c r="C48" s="19" t="inlineStr">
        <is>
          <t>Бумажная</t>
        </is>
      </c>
      <c r="D48" s="20" t="n"/>
    </row>
    <row r="49" ht="17" customHeight="1">
      <c r="B49" s="18" t="n">
        <v>47</v>
      </c>
      <c r="C49" s="19" t="inlineStr">
        <is>
          <t>Электронная</t>
        </is>
      </c>
      <c r="D49" s="20" t="inlineStr">
        <is>
          <t>Департамент жилищной политики Администрации города Омска</t>
        </is>
      </c>
    </row>
    <row r="50" ht="17" customHeight="1">
      <c r="B50" s="18" t="n">
        <v>48</v>
      </c>
      <c r="C50" s="19" t="inlineStr">
        <is>
          <t>Бумажная</t>
        </is>
      </c>
      <c r="D50" s="20" t="n"/>
    </row>
    <row r="51" ht="17" customHeight="1">
      <c r="B51" s="18" t="n">
        <v>49</v>
      </c>
      <c r="C51" s="19" t="inlineStr">
        <is>
          <t>Онлайн</t>
        </is>
      </c>
      <c r="D51" s="20" t="inlineStr">
        <is>
          <t>Председатель совета дома</t>
        </is>
      </c>
    </row>
    <row r="52" ht="17" customHeight="1">
      <c r="B52" s="18" t="n">
        <v>50</v>
      </c>
      <c r="C52" s="19" t="inlineStr">
        <is>
          <t>Бумажная</t>
        </is>
      </c>
      <c r="D52" s="20" t="n"/>
    </row>
    <row r="53" ht="17" customHeight="1">
      <c r="B53" s="18" t="n">
        <v>51</v>
      </c>
      <c r="C53" s="19" t="inlineStr">
        <is>
          <t>Бумажная</t>
        </is>
      </c>
      <c r="D53" s="20" t="n"/>
    </row>
    <row r="54" ht="17" customHeight="1">
      <c r="B54" s="18" t="n">
        <v>52</v>
      </c>
      <c r="C54" s="19" t="inlineStr">
        <is>
          <t>Бумажная</t>
        </is>
      </c>
      <c r="D54" s="20" t="n"/>
    </row>
    <row r="55" ht="17" customHeight="1">
      <c r="B55" s="18" t="n">
        <v>53</v>
      </c>
      <c r="C55" s="19" t="inlineStr">
        <is>
          <t>Бумажная</t>
        </is>
      </c>
      <c r="D55" s="20" t="n"/>
    </row>
    <row r="56" ht="17" customHeight="1">
      <c r="B56" s="18" t="n">
        <v>54</v>
      </c>
      <c r="C56" s="19" t="inlineStr">
        <is>
          <t>Бумажная</t>
        </is>
      </c>
      <c r="D56" s="20" t="n"/>
    </row>
    <row r="57" ht="17" customHeight="1">
      <c r="B57" s="18" t="n">
        <v>55</v>
      </c>
      <c r="C57" s="19" t="inlineStr">
        <is>
          <t>Бумажная</t>
        </is>
      </c>
      <c r="D57" s="20" t="n"/>
    </row>
    <row r="58" ht="17" customHeight="1">
      <c r="B58" s="18" t="n">
        <v>56</v>
      </c>
      <c r="C58" s="19" t="inlineStr">
        <is>
          <t>Бумажная</t>
        </is>
      </c>
      <c r="D58" s="20" t="n"/>
    </row>
    <row r="59" ht="17" customHeight="1">
      <c r="B59" s="18" t="n">
        <v>57</v>
      </c>
      <c r="C59" s="19" t="inlineStr">
        <is>
          <t>Бумажная</t>
        </is>
      </c>
      <c r="D59" s="20" t="n"/>
    </row>
    <row r="60" ht="17" customHeight="1">
      <c r="B60" s="18" t="n">
        <v>58</v>
      </c>
      <c r="C60" s="19" t="inlineStr">
        <is>
          <t>Бумажная</t>
        </is>
      </c>
      <c r="D60" s="20" t="n"/>
    </row>
    <row r="61" ht="17" customHeight="1">
      <c r="B61" s="18" t="n">
        <v>59</v>
      </c>
      <c r="C61" s="19" t="inlineStr">
        <is>
          <t>Бумажная</t>
        </is>
      </c>
      <c r="D61" s="20" t="n"/>
    </row>
    <row r="62" ht="17" customHeight="1">
      <c r="B62" s="18" t="n">
        <v>60</v>
      </c>
      <c r="C62" s="19" t="inlineStr">
        <is>
          <t>Бумажная</t>
        </is>
      </c>
      <c r="D62" s="20" t="n"/>
    </row>
    <row r="63" ht="17" customHeight="1">
      <c r="B63" s="18" t="n">
        <v>61</v>
      </c>
      <c r="C63" s="19" t="inlineStr">
        <is>
          <t>Бумажная</t>
        </is>
      </c>
      <c r="D63" s="20" t="n"/>
    </row>
    <row r="64" ht="17" customHeight="1">
      <c r="B64" s="18" t="n">
        <v>62</v>
      </c>
      <c r="C64" s="19" t="inlineStr">
        <is>
          <t>Бумажная</t>
        </is>
      </c>
      <c r="D64" s="20" t="n"/>
    </row>
    <row r="65" ht="17" customHeight="1">
      <c r="B65" s="18" t="n">
        <v>63</v>
      </c>
      <c r="C65" s="19" t="inlineStr">
        <is>
          <t>Бумажная</t>
        </is>
      </c>
      <c r="D65" s="20" t="n"/>
    </row>
    <row r="66" ht="17" customHeight="1">
      <c r="B66" s="18" t="n">
        <v>64</v>
      </c>
      <c r="C66" s="19" t="inlineStr">
        <is>
          <t>Бумажная</t>
        </is>
      </c>
      <c r="D66" s="20" t="n"/>
    </row>
    <row r="67" ht="17" customHeight="1">
      <c r="B67" s="18" t="n">
        <v>65</v>
      </c>
      <c r="C67" s="19" t="inlineStr">
        <is>
          <t>Бумажная</t>
        </is>
      </c>
      <c r="D67" s="20" t="n"/>
    </row>
    <row r="68" ht="17" customHeight="1">
      <c r="B68" s="18" t="n">
        <v>66</v>
      </c>
      <c r="C68" s="19" t="inlineStr">
        <is>
          <t>Бумажная</t>
        </is>
      </c>
      <c r="D68" s="20" t="n"/>
    </row>
    <row r="69" ht="17" customHeight="1">
      <c r="B69" s="18" t="n">
        <v>67</v>
      </c>
      <c r="C69" s="19" t="inlineStr">
        <is>
          <t>Бумажная</t>
        </is>
      </c>
      <c r="D69" s="20" t="n"/>
    </row>
    <row r="70" ht="17" customHeight="1">
      <c r="B70" s="18" t="n">
        <v>68</v>
      </c>
      <c r="C70" s="19" t="inlineStr">
        <is>
          <t>Бумажная</t>
        </is>
      </c>
      <c r="D70" s="20" t="n"/>
    </row>
    <row r="71" ht="17" customHeight="1">
      <c r="B71" s="18" t="n">
        <v>69</v>
      </c>
      <c r="C71" s="19" t="inlineStr">
        <is>
          <t>Бумажная</t>
        </is>
      </c>
      <c r="D71" s="20" t="n"/>
    </row>
    <row r="72" ht="17" customHeight="1">
      <c r="B72" s="18" t="n">
        <v>70</v>
      </c>
      <c r="C72" s="19" t="inlineStr">
        <is>
          <t>Бумажная</t>
        </is>
      </c>
      <c r="D72" s="20" t="n"/>
    </row>
    <row r="73" ht="17" customHeight="1">
      <c r="B73" s="18" t="n">
        <v>71</v>
      </c>
      <c r="C73" s="19" t="inlineStr">
        <is>
          <t>Бумажная</t>
        </is>
      </c>
      <c r="D73" s="20" t="n"/>
    </row>
    <row r="74" ht="17" customHeight="1">
      <c r="B74" s="18" t="n">
        <v>72</v>
      </c>
      <c r="C74" s="19" t="inlineStr">
        <is>
          <t>Бумажная</t>
        </is>
      </c>
      <c r="D74" s="20" t="n"/>
    </row>
    <row r="75" ht="17" customHeight="1">
      <c r="B75" s="18" t="n">
        <v>73</v>
      </c>
      <c r="C75" s="19" t="inlineStr">
        <is>
          <t>Бумажная</t>
        </is>
      </c>
      <c r="D75" s="20" t="n"/>
    </row>
    <row r="76" ht="17" customHeight="1">
      <c r="B76" s="18" t="n">
        <v>74</v>
      </c>
      <c r="C76" s="19" t="inlineStr">
        <is>
          <t>Бумажная</t>
        </is>
      </c>
      <c r="D76" s="20" t="n"/>
    </row>
    <row r="77" ht="17" customHeight="1">
      <c r="B77" s="18" t="n">
        <v>75</v>
      </c>
      <c r="C77" s="19" t="inlineStr">
        <is>
          <t>Бумажная</t>
        </is>
      </c>
      <c r="D77" s="20" t="n"/>
    </row>
    <row r="78" ht="17" customHeight="1">
      <c r="B78" s="18" t="n">
        <v>76</v>
      </c>
      <c r="C78" s="19" t="inlineStr">
        <is>
          <t>Бумажная</t>
        </is>
      </c>
      <c r="D78" s="20" t="n"/>
    </row>
    <row r="79" ht="17" customHeight="1">
      <c r="B79" s="18" t="n">
        <v>77</v>
      </c>
      <c r="C79" s="19" t="inlineStr">
        <is>
          <t>Бумажная</t>
        </is>
      </c>
      <c r="D79" s="20" t="n"/>
    </row>
    <row r="80" ht="17" customHeight="1">
      <c r="B80" s="18" t="n">
        <v>78</v>
      </c>
      <c r="C80" s="19" t="inlineStr">
        <is>
          <t>Бумажная</t>
        </is>
      </c>
      <c r="D80" s="20" t="n"/>
    </row>
    <row r="81" ht="17" customHeight="1">
      <c r="B81" s="18" t="n">
        <v>79</v>
      </c>
      <c r="C81" s="19" t="inlineStr">
        <is>
          <t>Бумажная</t>
        </is>
      </c>
      <c r="D81" s="20" t="n"/>
    </row>
    <row r="82" ht="17" customHeight="1">
      <c r="B82" s="18" t="n">
        <v>80</v>
      </c>
      <c r="C82" s="19" t="inlineStr">
        <is>
          <t>Бумажная</t>
        </is>
      </c>
      <c r="D82" s="20" t="n"/>
    </row>
    <row r="84">
      <c r="B84" s="21" t="inlineStr">
        <is>
          <t>Чтобы квартира переехала в другой столбец памятки, поменяйте её статус в столбце «Статус» — вручную переносить ничего не нужно. На этом листе формул нет: всё, что считает памятка, вынесено на скрытый лист «СЛУЖЕБНЫЙ», поэтому сортировка и протяжка здесь ничего не сломают. Лишние строки просто очистите.</t>
        </is>
      </c>
    </row>
    <row r="85"/>
    <row r="86"/>
  </sheetData>
  <mergeCells count="2">
    <mergeCell ref="B1:D1"/>
    <mergeCell ref="B84:D86"/>
  </mergeCells>
  <dataValidations count="1">
    <dataValidation sqref="C3:C82" showDropDown="0" showInputMessage="0" showErrorMessage="0" allowBlank="1" errorTitle="Такого статуса нет" error="Выберите значение из списка." promptTitle="Статус квартиры" prompt="Бумажная — печатаем и разносим&#10;Онлайн — платят сами по шаблону&#10;Электронная — отправляем PDF на почту" type="list">
      <formula1>"Бумажная,Онлайн,Электронная"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№ в «Бумажная»</t>
        </is>
      </c>
      <c r="B1" s="22" t="inlineStr">
        <is>
          <t>№ в «Онлайн»</t>
        </is>
      </c>
      <c r="C1" s="22" t="inlineStr">
        <is>
          <t>№ в «Электронная»</t>
        </is>
      </c>
    </row>
    <row r="2">
      <c r="A2">
        <f>IF('СПИСОК КВАРТИР'!$C3="Бумажная",COUNTIF('СПИСОК КВАРТИР'!$C$3:$C3,"Бумажная"),"")</f>
        <v/>
      </c>
      <c r="B2">
        <f>IF('СПИСОК КВАРТИР'!$C3="Онлайн",COUNTIF('СПИСОК КВАРТИР'!$C$3:$C3,"Онлайн"),"")</f>
        <v/>
      </c>
      <c r="C2">
        <f>IF('СПИСОК КВАРТИР'!$C3="Электронная",COUNTIF('СПИСОК КВАРТИР'!$C$3:$C3,"Электронная"),"")</f>
        <v/>
      </c>
    </row>
    <row r="3">
      <c r="A3">
        <f>IF('СПИСОК КВАРТИР'!$C4="Бумажная",COUNTIF('СПИСОК КВАРТИР'!$C$3:$C4,"Бумажная"),"")</f>
        <v/>
      </c>
      <c r="B3">
        <f>IF('СПИСОК КВАРТИР'!$C4="Онлайн",COUNTIF('СПИСОК КВАРТИР'!$C$3:$C4,"Онлайн"),"")</f>
        <v/>
      </c>
      <c r="C3">
        <f>IF('СПИСОК КВАРТИР'!$C4="Электронная",COUNTIF('СПИСОК КВАРТИР'!$C$3:$C4,"Электронная"),"")</f>
        <v/>
      </c>
    </row>
    <row r="4">
      <c r="A4">
        <f>IF('СПИСОК КВАРТИР'!$C5="Бумажная",COUNTIF('СПИСОК КВАРТИР'!$C$3:$C5,"Бумажная"),"")</f>
        <v/>
      </c>
      <c r="B4">
        <f>IF('СПИСОК КВАРТИР'!$C5="Онлайн",COUNTIF('СПИСОК КВАРТИР'!$C$3:$C5,"Онлайн"),"")</f>
        <v/>
      </c>
      <c r="C4">
        <f>IF('СПИСОК КВАРТИР'!$C5="Электронная",COUNTIF('СПИСОК КВАРТИР'!$C$3:$C5,"Электронная"),"")</f>
        <v/>
      </c>
    </row>
    <row r="5">
      <c r="A5">
        <f>IF('СПИСОК КВАРТИР'!$C6="Бумажная",COUNTIF('СПИСОК КВАРТИР'!$C$3:$C6,"Бумажная"),"")</f>
        <v/>
      </c>
      <c r="B5">
        <f>IF('СПИСОК КВАРТИР'!$C6="Онлайн",COUNTIF('СПИСОК КВАРТИР'!$C$3:$C6,"Онлайн"),"")</f>
        <v/>
      </c>
      <c r="C5">
        <f>IF('СПИСОК КВАРТИР'!$C6="Электронная",COUNTIF('СПИСОК КВАРТИР'!$C$3:$C6,"Электронная"),"")</f>
        <v/>
      </c>
    </row>
    <row r="6">
      <c r="A6">
        <f>IF('СПИСОК КВАРТИР'!$C7="Бумажная",COUNTIF('СПИСОК КВАРТИР'!$C$3:$C7,"Бумажная"),"")</f>
        <v/>
      </c>
      <c r="B6">
        <f>IF('СПИСОК КВАРТИР'!$C7="Онлайн",COUNTIF('СПИСОК КВАРТИР'!$C$3:$C7,"Онлайн"),"")</f>
        <v/>
      </c>
      <c r="C6">
        <f>IF('СПИСОК КВАРТИР'!$C7="Электронная",COUNTIF('СПИСОК КВАРТИР'!$C$3:$C7,"Электронная"),"")</f>
        <v/>
      </c>
    </row>
    <row r="7">
      <c r="A7">
        <f>IF('СПИСОК КВАРТИР'!$C8="Бумажная",COUNTIF('СПИСОК КВАРТИР'!$C$3:$C8,"Бумажная"),"")</f>
        <v/>
      </c>
      <c r="B7">
        <f>IF('СПИСОК КВАРТИР'!$C8="Онлайн",COUNTIF('СПИСОК КВАРТИР'!$C$3:$C8,"Онлайн"),"")</f>
        <v/>
      </c>
      <c r="C7">
        <f>IF('СПИСОК КВАРТИР'!$C8="Электронная",COUNTIF('СПИСОК КВАРТИР'!$C$3:$C8,"Электронная"),"")</f>
        <v/>
      </c>
    </row>
    <row r="8">
      <c r="A8">
        <f>IF('СПИСОК КВАРТИР'!$C9="Бумажная",COUNTIF('СПИСОК КВАРТИР'!$C$3:$C9,"Бумажная"),"")</f>
        <v/>
      </c>
      <c r="B8">
        <f>IF('СПИСОК КВАРТИР'!$C9="Онлайн",COUNTIF('СПИСОК КВАРТИР'!$C$3:$C9,"Онлайн"),"")</f>
        <v/>
      </c>
      <c r="C8">
        <f>IF('СПИСОК КВАРТИР'!$C9="Электронная",COUNTIF('СПИСОК КВАРТИР'!$C$3:$C9,"Электронная"),"")</f>
        <v/>
      </c>
    </row>
    <row r="9">
      <c r="A9">
        <f>IF('СПИСОК КВАРТИР'!$C10="Бумажная",COUNTIF('СПИСОК КВАРТИР'!$C$3:$C10,"Бумажная"),"")</f>
        <v/>
      </c>
      <c r="B9">
        <f>IF('СПИСОК КВАРТИР'!$C10="Онлайн",COUNTIF('СПИСОК КВАРТИР'!$C$3:$C10,"Онлайн"),"")</f>
        <v/>
      </c>
      <c r="C9">
        <f>IF('СПИСОК КВАРТИР'!$C10="Электронная",COUNTIF('СПИСОК КВАРТИР'!$C$3:$C10,"Электронная"),"")</f>
        <v/>
      </c>
    </row>
    <row r="10">
      <c r="A10">
        <f>IF('СПИСОК КВАРТИР'!$C11="Бумажная",COUNTIF('СПИСОК КВАРТИР'!$C$3:$C11,"Бумажная"),"")</f>
        <v/>
      </c>
      <c r="B10">
        <f>IF('СПИСОК КВАРТИР'!$C11="Онлайн",COUNTIF('СПИСОК КВАРТИР'!$C$3:$C11,"Онлайн"),"")</f>
        <v/>
      </c>
      <c r="C10">
        <f>IF('СПИСОК КВАРТИР'!$C11="Электронная",COUNTIF('СПИСОК КВАРТИР'!$C$3:$C11,"Электронная"),"")</f>
        <v/>
      </c>
    </row>
    <row r="11">
      <c r="A11">
        <f>IF('СПИСОК КВАРТИР'!$C12="Бумажная",COUNTIF('СПИСОК КВАРТИР'!$C$3:$C12,"Бумажная"),"")</f>
        <v/>
      </c>
      <c r="B11">
        <f>IF('СПИСОК КВАРТИР'!$C12="Онлайн",COUNTIF('СПИСОК КВАРТИР'!$C$3:$C12,"Онлайн"),"")</f>
        <v/>
      </c>
      <c r="C11">
        <f>IF('СПИСОК КВАРТИР'!$C12="Электронная",COUNTIF('СПИСОК КВАРТИР'!$C$3:$C12,"Электронная"),"")</f>
        <v/>
      </c>
    </row>
    <row r="12">
      <c r="A12">
        <f>IF('СПИСОК КВАРТИР'!$C13="Бумажная",COUNTIF('СПИСОК КВАРТИР'!$C$3:$C13,"Бумажная"),"")</f>
        <v/>
      </c>
      <c r="B12">
        <f>IF('СПИСОК КВАРТИР'!$C13="Онлайн",COUNTIF('СПИСОК КВАРТИР'!$C$3:$C13,"Онлайн"),"")</f>
        <v/>
      </c>
      <c r="C12">
        <f>IF('СПИСОК КВАРТИР'!$C13="Электронная",COUNTIF('СПИСОК КВАРТИР'!$C$3:$C13,"Электронная"),"")</f>
        <v/>
      </c>
    </row>
    <row r="13">
      <c r="A13">
        <f>IF('СПИСОК КВАРТИР'!$C14="Бумажная",COUNTIF('СПИСОК КВАРТИР'!$C$3:$C14,"Бумажная"),"")</f>
        <v/>
      </c>
      <c r="B13">
        <f>IF('СПИСОК КВАРТИР'!$C14="Онлайн",COUNTIF('СПИСОК КВАРТИР'!$C$3:$C14,"Онлайн"),"")</f>
        <v/>
      </c>
      <c r="C13">
        <f>IF('СПИСОК КВАРТИР'!$C14="Электронная",COUNTIF('СПИСОК КВАРТИР'!$C$3:$C14,"Электронная"),"")</f>
        <v/>
      </c>
    </row>
    <row r="14">
      <c r="A14">
        <f>IF('СПИСОК КВАРТИР'!$C15="Бумажная",COUNTIF('СПИСОК КВАРТИР'!$C$3:$C15,"Бумажная"),"")</f>
        <v/>
      </c>
      <c r="B14">
        <f>IF('СПИСОК КВАРТИР'!$C15="Онлайн",COUNTIF('СПИСОК КВАРТИР'!$C$3:$C15,"Онлайн"),"")</f>
        <v/>
      </c>
      <c r="C14">
        <f>IF('СПИСОК КВАРТИР'!$C15="Электронная",COUNTIF('СПИСОК КВАРТИР'!$C$3:$C15,"Электронная"),"")</f>
        <v/>
      </c>
    </row>
    <row r="15">
      <c r="A15">
        <f>IF('СПИСОК КВАРТИР'!$C16="Бумажная",COUNTIF('СПИСОК КВАРТИР'!$C$3:$C16,"Бумажная"),"")</f>
        <v/>
      </c>
      <c r="B15">
        <f>IF('СПИСОК КВАРТИР'!$C16="Онлайн",COUNTIF('СПИСОК КВАРТИР'!$C$3:$C16,"Онлайн"),"")</f>
        <v/>
      </c>
      <c r="C15">
        <f>IF('СПИСОК КВАРТИР'!$C16="Электронная",COUNTIF('СПИСОК КВАРТИР'!$C$3:$C16,"Электронная"),"")</f>
        <v/>
      </c>
    </row>
    <row r="16">
      <c r="A16">
        <f>IF('СПИСОК КВАРТИР'!$C17="Бумажная",COUNTIF('СПИСОК КВАРТИР'!$C$3:$C17,"Бумажная"),"")</f>
        <v/>
      </c>
      <c r="B16">
        <f>IF('СПИСОК КВАРТИР'!$C17="Онлайн",COUNTIF('СПИСОК КВАРТИР'!$C$3:$C17,"Онлайн"),"")</f>
        <v/>
      </c>
      <c r="C16">
        <f>IF('СПИСОК КВАРТИР'!$C17="Электронная",COUNTIF('СПИСОК КВАРТИР'!$C$3:$C17,"Электронная"),"")</f>
        <v/>
      </c>
    </row>
    <row r="17">
      <c r="A17">
        <f>IF('СПИСОК КВАРТИР'!$C18="Бумажная",COUNTIF('СПИСОК КВАРТИР'!$C$3:$C18,"Бумажная"),"")</f>
        <v/>
      </c>
      <c r="B17">
        <f>IF('СПИСОК КВАРТИР'!$C18="Онлайн",COUNTIF('СПИСОК КВАРТИР'!$C$3:$C18,"Онлайн"),"")</f>
        <v/>
      </c>
      <c r="C17">
        <f>IF('СПИСОК КВАРТИР'!$C18="Электронная",COUNTIF('СПИСОК КВАРТИР'!$C$3:$C18,"Электронная"),"")</f>
        <v/>
      </c>
    </row>
    <row r="18">
      <c r="A18">
        <f>IF('СПИСОК КВАРТИР'!$C19="Бумажная",COUNTIF('СПИСОК КВАРТИР'!$C$3:$C19,"Бумажная"),"")</f>
        <v/>
      </c>
      <c r="B18">
        <f>IF('СПИСОК КВАРТИР'!$C19="Онлайн",COUNTIF('СПИСОК КВАРТИР'!$C$3:$C19,"Онлайн"),"")</f>
        <v/>
      </c>
      <c r="C18">
        <f>IF('СПИСОК КВАРТИР'!$C19="Электронная",COUNTIF('СПИСОК КВАРТИР'!$C$3:$C19,"Электронная"),"")</f>
        <v/>
      </c>
    </row>
    <row r="19">
      <c r="A19">
        <f>IF('СПИСОК КВАРТИР'!$C20="Бумажная",COUNTIF('СПИСОК КВАРТИР'!$C$3:$C20,"Бумажная"),"")</f>
        <v/>
      </c>
      <c r="B19">
        <f>IF('СПИСОК КВАРТИР'!$C20="Онлайн",COUNTIF('СПИСОК КВАРТИР'!$C$3:$C20,"Онлайн"),"")</f>
        <v/>
      </c>
      <c r="C19">
        <f>IF('СПИСОК КВАРТИР'!$C20="Электронная",COUNTIF('СПИСОК КВАРТИР'!$C$3:$C20,"Электронная"),"")</f>
        <v/>
      </c>
    </row>
    <row r="20">
      <c r="A20">
        <f>IF('СПИСОК КВАРТИР'!$C21="Бумажная",COUNTIF('СПИСОК КВАРТИР'!$C$3:$C21,"Бумажная"),"")</f>
        <v/>
      </c>
      <c r="B20">
        <f>IF('СПИСОК КВАРТИР'!$C21="Онлайн",COUNTIF('СПИСОК КВАРТИР'!$C$3:$C21,"Онлайн"),"")</f>
        <v/>
      </c>
      <c r="C20">
        <f>IF('СПИСОК КВАРТИР'!$C21="Электронная",COUNTIF('СПИСОК КВАРТИР'!$C$3:$C21,"Электронная"),"")</f>
        <v/>
      </c>
    </row>
    <row r="21">
      <c r="A21">
        <f>IF('СПИСОК КВАРТИР'!$C22="Бумажная",COUNTIF('СПИСОК КВАРТИР'!$C$3:$C22,"Бумажная"),"")</f>
        <v/>
      </c>
      <c r="B21">
        <f>IF('СПИСОК КВАРТИР'!$C22="Онлайн",COUNTIF('СПИСОК КВАРТИР'!$C$3:$C22,"Онлайн"),"")</f>
        <v/>
      </c>
      <c r="C21">
        <f>IF('СПИСОК КВАРТИР'!$C22="Электронная",COUNTIF('СПИСОК КВАРТИР'!$C$3:$C22,"Электронная"),"")</f>
        <v/>
      </c>
    </row>
    <row r="22">
      <c r="A22">
        <f>IF('СПИСОК КВАРТИР'!$C23="Бумажная",COUNTIF('СПИСОК КВАРТИР'!$C$3:$C23,"Бумажная"),"")</f>
        <v/>
      </c>
      <c r="B22">
        <f>IF('СПИСОК КВАРТИР'!$C23="Онлайн",COUNTIF('СПИСОК КВАРТИР'!$C$3:$C23,"Онлайн"),"")</f>
        <v/>
      </c>
      <c r="C22">
        <f>IF('СПИСОК КВАРТИР'!$C23="Электронная",COUNTIF('СПИСОК КВАРТИР'!$C$3:$C23,"Электронная"),"")</f>
        <v/>
      </c>
    </row>
    <row r="23">
      <c r="A23">
        <f>IF('СПИСОК КВАРТИР'!$C24="Бумажная",COUNTIF('СПИСОК КВАРТИР'!$C$3:$C24,"Бумажная"),"")</f>
        <v/>
      </c>
      <c r="B23">
        <f>IF('СПИСОК КВАРТИР'!$C24="Онлайн",COUNTIF('СПИСОК КВАРТИР'!$C$3:$C24,"Онлайн"),"")</f>
        <v/>
      </c>
      <c r="C23">
        <f>IF('СПИСОК КВАРТИР'!$C24="Электронная",COUNTIF('СПИСОК КВАРТИР'!$C$3:$C24,"Электронная"),"")</f>
        <v/>
      </c>
    </row>
    <row r="24">
      <c r="A24">
        <f>IF('СПИСОК КВАРТИР'!$C25="Бумажная",COUNTIF('СПИСОК КВАРТИР'!$C$3:$C25,"Бумажная"),"")</f>
        <v/>
      </c>
      <c r="B24">
        <f>IF('СПИСОК КВАРТИР'!$C25="Онлайн",COUNTIF('СПИСОК КВАРТИР'!$C$3:$C25,"Онлайн"),"")</f>
        <v/>
      </c>
      <c r="C24">
        <f>IF('СПИСОК КВАРТИР'!$C25="Электронная",COUNTIF('СПИСОК КВАРТИР'!$C$3:$C25,"Электронная"),"")</f>
        <v/>
      </c>
    </row>
    <row r="25">
      <c r="A25">
        <f>IF('СПИСОК КВАРТИР'!$C26="Бумажная",COUNTIF('СПИСОК КВАРТИР'!$C$3:$C26,"Бумажная"),"")</f>
        <v/>
      </c>
      <c r="B25">
        <f>IF('СПИСОК КВАРТИР'!$C26="Онлайн",COUNTIF('СПИСОК КВАРТИР'!$C$3:$C26,"Онлайн"),"")</f>
        <v/>
      </c>
      <c r="C25">
        <f>IF('СПИСОК КВАРТИР'!$C26="Электронная",COUNTIF('СПИСОК КВАРТИР'!$C$3:$C26,"Электронная"),"")</f>
        <v/>
      </c>
    </row>
    <row r="26">
      <c r="A26">
        <f>IF('СПИСОК КВАРТИР'!$C27="Бумажная",COUNTIF('СПИСОК КВАРТИР'!$C$3:$C27,"Бумажная"),"")</f>
        <v/>
      </c>
      <c r="B26">
        <f>IF('СПИСОК КВАРТИР'!$C27="Онлайн",COUNTIF('СПИСОК КВАРТИР'!$C$3:$C27,"Онлайн"),"")</f>
        <v/>
      </c>
      <c r="C26">
        <f>IF('СПИСОК КВАРТИР'!$C27="Электронная",COUNTIF('СПИСОК КВАРТИР'!$C$3:$C27,"Электронная"),"")</f>
        <v/>
      </c>
    </row>
    <row r="27">
      <c r="A27">
        <f>IF('СПИСОК КВАРТИР'!$C28="Бумажная",COUNTIF('СПИСОК КВАРТИР'!$C$3:$C28,"Бумажная"),"")</f>
        <v/>
      </c>
      <c r="B27">
        <f>IF('СПИСОК КВАРТИР'!$C28="Онлайн",COUNTIF('СПИСОК КВАРТИР'!$C$3:$C28,"Онлайн"),"")</f>
        <v/>
      </c>
      <c r="C27">
        <f>IF('СПИСОК КВАРТИР'!$C28="Электронная",COUNTIF('СПИСОК КВАРТИР'!$C$3:$C28,"Электронная"),"")</f>
        <v/>
      </c>
    </row>
    <row r="28">
      <c r="A28">
        <f>IF('СПИСОК КВАРТИР'!$C29="Бумажная",COUNTIF('СПИСОК КВАРТИР'!$C$3:$C29,"Бумажная"),"")</f>
        <v/>
      </c>
      <c r="B28">
        <f>IF('СПИСОК КВАРТИР'!$C29="Онлайн",COUNTIF('СПИСОК КВАРТИР'!$C$3:$C29,"Онлайн"),"")</f>
        <v/>
      </c>
      <c r="C28">
        <f>IF('СПИСОК КВАРТИР'!$C29="Электронная",COUNTIF('СПИСОК КВАРТИР'!$C$3:$C29,"Электронная"),"")</f>
        <v/>
      </c>
    </row>
    <row r="29">
      <c r="A29">
        <f>IF('СПИСОК КВАРТИР'!$C30="Бумажная",COUNTIF('СПИСОК КВАРТИР'!$C$3:$C30,"Бумажная"),"")</f>
        <v/>
      </c>
      <c r="B29">
        <f>IF('СПИСОК КВАРТИР'!$C30="Онлайн",COUNTIF('СПИСОК КВАРТИР'!$C$3:$C30,"Онлайн"),"")</f>
        <v/>
      </c>
      <c r="C29">
        <f>IF('СПИСОК КВАРТИР'!$C30="Электронная",COUNTIF('СПИСОК КВАРТИР'!$C$3:$C30,"Электронная"),"")</f>
        <v/>
      </c>
    </row>
    <row r="30">
      <c r="A30">
        <f>IF('СПИСОК КВАРТИР'!$C31="Бумажная",COUNTIF('СПИСОК КВАРТИР'!$C$3:$C31,"Бумажная"),"")</f>
        <v/>
      </c>
      <c r="B30">
        <f>IF('СПИСОК КВАРТИР'!$C31="Онлайн",COUNTIF('СПИСОК КВАРТИР'!$C$3:$C31,"Онлайн"),"")</f>
        <v/>
      </c>
      <c r="C30">
        <f>IF('СПИСОК КВАРТИР'!$C31="Электронная",COUNTIF('СПИСОК КВАРТИР'!$C$3:$C31,"Электронная"),"")</f>
        <v/>
      </c>
    </row>
    <row r="31">
      <c r="A31">
        <f>IF('СПИСОК КВАРТИР'!$C32="Бумажная",COUNTIF('СПИСОК КВАРТИР'!$C$3:$C32,"Бумажная"),"")</f>
        <v/>
      </c>
      <c r="B31">
        <f>IF('СПИСОК КВАРТИР'!$C32="Онлайн",COUNTIF('СПИСОК КВАРТИР'!$C$3:$C32,"Онлайн"),"")</f>
        <v/>
      </c>
      <c r="C31">
        <f>IF('СПИСОК КВАРТИР'!$C32="Электронная",COUNTIF('СПИСОК КВАРТИР'!$C$3:$C32,"Электронная"),"")</f>
        <v/>
      </c>
    </row>
    <row r="32">
      <c r="A32">
        <f>IF('СПИСОК КВАРТИР'!$C33="Бумажная",COUNTIF('СПИСОК КВАРТИР'!$C$3:$C33,"Бумажная"),"")</f>
        <v/>
      </c>
      <c r="B32">
        <f>IF('СПИСОК КВАРТИР'!$C33="Онлайн",COUNTIF('СПИСОК КВАРТИР'!$C$3:$C33,"Онлайн"),"")</f>
        <v/>
      </c>
      <c r="C32">
        <f>IF('СПИСОК КВАРТИР'!$C33="Электронная",COUNTIF('СПИСОК КВАРТИР'!$C$3:$C33,"Электронная"),"")</f>
        <v/>
      </c>
    </row>
    <row r="33">
      <c r="A33">
        <f>IF('СПИСОК КВАРТИР'!$C34="Бумажная",COUNTIF('СПИСОК КВАРТИР'!$C$3:$C34,"Бумажная"),"")</f>
        <v/>
      </c>
      <c r="B33">
        <f>IF('СПИСОК КВАРТИР'!$C34="Онлайн",COUNTIF('СПИСОК КВАРТИР'!$C$3:$C34,"Онлайн"),"")</f>
        <v/>
      </c>
      <c r="C33">
        <f>IF('СПИСОК КВАРТИР'!$C34="Электронная",COUNTIF('СПИСОК КВАРТИР'!$C$3:$C34,"Электронная"),"")</f>
        <v/>
      </c>
    </row>
    <row r="34">
      <c r="A34">
        <f>IF('СПИСОК КВАРТИР'!$C35="Бумажная",COUNTIF('СПИСОК КВАРТИР'!$C$3:$C35,"Бумажная"),"")</f>
        <v/>
      </c>
      <c r="B34">
        <f>IF('СПИСОК КВАРТИР'!$C35="Онлайн",COUNTIF('СПИСОК КВАРТИР'!$C$3:$C35,"Онлайн"),"")</f>
        <v/>
      </c>
      <c r="C34">
        <f>IF('СПИСОК КВАРТИР'!$C35="Электронная",COUNTIF('СПИСОК КВАРТИР'!$C$3:$C35,"Электронная"),"")</f>
        <v/>
      </c>
    </row>
    <row r="35">
      <c r="A35">
        <f>IF('СПИСОК КВАРТИР'!$C36="Бумажная",COUNTIF('СПИСОК КВАРТИР'!$C$3:$C36,"Бумажная"),"")</f>
        <v/>
      </c>
      <c r="B35">
        <f>IF('СПИСОК КВАРТИР'!$C36="Онлайн",COUNTIF('СПИСОК КВАРТИР'!$C$3:$C36,"Онлайн"),"")</f>
        <v/>
      </c>
      <c r="C35">
        <f>IF('СПИСОК КВАРТИР'!$C36="Электронная",COUNTIF('СПИСОК КВАРТИР'!$C$3:$C36,"Электронная"),"")</f>
        <v/>
      </c>
    </row>
    <row r="36">
      <c r="A36">
        <f>IF('СПИСОК КВАРТИР'!$C37="Бумажная",COUNTIF('СПИСОК КВАРТИР'!$C$3:$C37,"Бумажная"),"")</f>
        <v/>
      </c>
      <c r="B36">
        <f>IF('СПИСОК КВАРТИР'!$C37="Онлайн",COUNTIF('СПИСОК КВАРТИР'!$C$3:$C37,"Онлайн"),"")</f>
        <v/>
      </c>
      <c r="C36">
        <f>IF('СПИСОК КВАРТИР'!$C37="Электронная",COUNTIF('СПИСОК КВАРТИР'!$C$3:$C37,"Электронная"),"")</f>
        <v/>
      </c>
    </row>
    <row r="37">
      <c r="A37">
        <f>IF('СПИСОК КВАРТИР'!$C38="Бумажная",COUNTIF('СПИСОК КВАРТИР'!$C$3:$C38,"Бумажная"),"")</f>
        <v/>
      </c>
      <c r="B37">
        <f>IF('СПИСОК КВАРТИР'!$C38="Онлайн",COUNTIF('СПИСОК КВАРТИР'!$C$3:$C38,"Онлайн"),"")</f>
        <v/>
      </c>
      <c r="C37">
        <f>IF('СПИСОК КВАРТИР'!$C38="Электронная",COUNTIF('СПИСОК КВАРТИР'!$C$3:$C38,"Электронная"),"")</f>
        <v/>
      </c>
    </row>
    <row r="38">
      <c r="A38">
        <f>IF('СПИСОК КВАРТИР'!$C39="Бумажная",COUNTIF('СПИСОК КВАРТИР'!$C$3:$C39,"Бумажная"),"")</f>
        <v/>
      </c>
      <c r="B38">
        <f>IF('СПИСОК КВАРТИР'!$C39="Онлайн",COUNTIF('СПИСОК КВАРТИР'!$C$3:$C39,"Онлайн"),"")</f>
        <v/>
      </c>
      <c r="C38">
        <f>IF('СПИСОК КВАРТИР'!$C39="Электронная",COUNTIF('СПИСОК КВАРТИР'!$C$3:$C39,"Электронная"),"")</f>
        <v/>
      </c>
    </row>
    <row r="39">
      <c r="A39">
        <f>IF('СПИСОК КВАРТИР'!$C40="Бумажная",COUNTIF('СПИСОК КВАРТИР'!$C$3:$C40,"Бумажная"),"")</f>
        <v/>
      </c>
      <c r="B39">
        <f>IF('СПИСОК КВАРТИР'!$C40="Онлайн",COUNTIF('СПИСОК КВАРТИР'!$C$3:$C40,"Онлайн"),"")</f>
        <v/>
      </c>
      <c r="C39">
        <f>IF('СПИСОК КВАРТИР'!$C40="Электронная",COUNTIF('СПИСОК КВАРТИР'!$C$3:$C40,"Электронная"),"")</f>
        <v/>
      </c>
    </row>
    <row r="40">
      <c r="A40">
        <f>IF('СПИСОК КВАРТИР'!$C41="Бумажная",COUNTIF('СПИСОК КВАРТИР'!$C$3:$C41,"Бумажная"),"")</f>
        <v/>
      </c>
      <c r="B40">
        <f>IF('СПИСОК КВАРТИР'!$C41="Онлайн",COUNTIF('СПИСОК КВАРТИР'!$C$3:$C41,"Онлайн"),"")</f>
        <v/>
      </c>
      <c r="C40">
        <f>IF('СПИСОК КВАРТИР'!$C41="Электронная",COUNTIF('СПИСОК КВАРТИР'!$C$3:$C41,"Электронная"),"")</f>
        <v/>
      </c>
    </row>
    <row r="41">
      <c r="A41">
        <f>IF('СПИСОК КВАРТИР'!$C42="Бумажная",COUNTIF('СПИСОК КВАРТИР'!$C$3:$C42,"Бумажная"),"")</f>
        <v/>
      </c>
      <c r="B41">
        <f>IF('СПИСОК КВАРТИР'!$C42="Онлайн",COUNTIF('СПИСОК КВАРТИР'!$C$3:$C42,"Онлайн"),"")</f>
        <v/>
      </c>
      <c r="C41">
        <f>IF('СПИСОК КВАРТИР'!$C42="Электронная",COUNTIF('СПИСОК КВАРТИР'!$C$3:$C42,"Электронная"),"")</f>
        <v/>
      </c>
    </row>
    <row r="42">
      <c r="A42">
        <f>IF('СПИСОК КВАРТИР'!$C43="Бумажная",COUNTIF('СПИСОК КВАРТИР'!$C$3:$C43,"Бумажная"),"")</f>
        <v/>
      </c>
      <c r="B42">
        <f>IF('СПИСОК КВАРТИР'!$C43="Онлайн",COUNTIF('СПИСОК КВАРТИР'!$C$3:$C43,"Онлайн"),"")</f>
        <v/>
      </c>
      <c r="C42">
        <f>IF('СПИСОК КВАРТИР'!$C43="Электронная",COUNTIF('СПИСОК КВАРТИР'!$C$3:$C43,"Электронная"),"")</f>
        <v/>
      </c>
    </row>
    <row r="43">
      <c r="A43">
        <f>IF('СПИСОК КВАРТИР'!$C44="Бумажная",COUNTIF('СПИСОК КВАРТИР'!$C$3:$C44,"Бумажная"),"")</f>
        <v/>
      </c>
      <c r="B43">
        <f>IF('СПИСОК КВАРТИР'!$C44="Онлайн",COUNTIF('СПИСОК КВАРТИР'!$C$3:$C44,"Онлайн"),"")</f>
        <v/>
      </c>
      <c r="C43">
        <f>IF('СПИСОК КВАРТИР'!$C44="Электронная",COUNTIF('СПИСОК КВАРТИР'!$C$3:$C44,"Электронная"),"")</f>
        <v/>
      </c>
    </row>
    <row r="44">
      <c r="A44">
        <f>IF('СПИСОК КВАРТИР'!$C45="Бумажная",COUNTIF('СПИСОК КВАРТИР'!$C$3:$C45,"Бумажная"),"")</f>
        <v/>
      </c>
      <c r="B44">
        <f>IF('СПИСОК КВАРТИР'!$C45="Онлайн",COUNTIF('СПИСОК КВАРТИР'!$C$3:$C45,"Онлайн"),"")</f>
        <v/>
      </c>
      <c r="C44">
        <f>IF('СПИСОК КВАРТИР'!$C45="Электронная",COUNTIF('СПИСОК КВАРТИР'!$C$3:$C45,"Электронная"),"")</f>
        <v/>
      </c>
    </row>
    <row r="45">
      <c r="A45">
        <f>IF('СПИСОК КВАРТИР'!$C46="Бумажная",COUNTIF('СПИСОК КВАРТИР'!$C$3:$C46,"Бумажная"),"")</f>
        <v/>
      </c>
      <c r="B45">
        <f>IF('СПИСОК КВАРТИР'!$C46="Онлайн",COUNTIF('СПИСОК КВАРТИР'!$C$3:$C46,"Онлайн"),"")</f>
        <v/>
      </c>
      <c r="C45">
        <f>IF('СПИСОК КВАРТИР'!$C46="Электронная",COUNTIF('СПИСОК КВАРТИР'!$C$3:$C46,"Электронная"),"")</f>
        <v/>
      </c>
    </row>
    <row r="46">
      <c r="A46">
        <f>IF('СПИСОК КВАРТИР'!$C47="Бумажная",COUNTIF('СПИСОК КВАРТИР'!$C$3:$C47,"Бумажная"),"")</f>
        <v/>
      </c>
      <c r="B46">
        <f>IF('СПИСОК КВАРТИР'!$C47="Онлайн",COUNTIF('СПИСОК КВАРТИР'!$C$3:$C47,"Онлайн"),"")</f>
        <v/>
      </c>
      <c r="C46">
        <f>IF('СПИСОК КВАРТИР'!$C47="Электронная",COUNTIF('СПИСОК КВАРТИР'!$C$3:$C47,"Электронная"),"")</f>
        <v/>
      </c>
    </row>
    <row r="47">
      <c r="A47">
        <f>IF('СПИСОК КВАРТИР'!$C48="Бумажная",COUNTIF('СПИСОК КВАРТИР'!$C$3:$C48,"Бумажная"),"")</f>
        <v/>
      </c>
      <c r="B47">
        <f>IF('СПИСОК КВАРТИР'!$C48="Онлайн",COUNTIF('СПИСОК КВАРТИР'!$C$3:$C48,"Онлайн"),"")</f>
        <v/>
      </c>
      <c r="C47">
        <f>IF('СПИСОК КВАРТИР'!$C48="Электронная",COUNTIF('СПИСОК КВАРТИР'!$C$3:$C48,"Электронная"),"")</f>
        <v/>
      </c>
    </row>
    <row r="48">
      <c r="A48">
        <f>IF('СПИСОК КВАРТИР'!$C49="Бумажная",COUNTIF('СПИСОК КВАРТИР'!$C$3:$C49,"Бумажная"),"")</f>
        <v/>
      </c>
      <c r="B48">
        <f>IF('СПИСОК КВАРТИР'!$C49="Онлайн",COUNTIF('СПИСОК КВАРТИР'!$C$3:$C49,"Онлайн"),"")</f>
        <v/>
      </c>
      <c r="C48">
        <f>IF('СПИСОК КВАРТИР'!$C49="Электронная",COUNTIF('СПИСОК КВАРТИР'!$C$3:$C49,"Электронная"),"")</f>
        <v/>
      </c>
    </row>
    <row r="49">
      <c r="A49">
        <f>IF('СПИСОК КВАРТИР'!$C50="Бумажная",COUNTIF('СПИСОК КВАРТИР'!$C$3:$C50,"Бумажная"),"")</f>
        <v/>
      </c>
      <c r="B49">
        <f>IF('СПИСОК КВАРТИР'!$C50="Онлайн",COUNTIF('СПИСОК КВАРТИР'!$C$3:$C50,"Онлайн"),"")</f>
        <v/>
      </c>
      <c r="C49">
        <f>IF('СПИСОК КВАРТИР'!$C50="Электронная",COUNTIF('СПИСОК КВАРТИР'!$C$3:$C50,"Электронная"),"")</f>
        <v/>
      </c>
    </row>
    <row r="50">
      <c r="A50">
        <f>IF('СПИСОК КВАРТИР'!$C51="Бумажная",COUNTIF('СПИСОК КВАРТИР'!$C$3:$C51,"Бумажная"),"")</f>
        <v/>
      </c>
      <c r="B50">
        <f>IF('СПИСОК КВАРТИР'!$C51="Онлайн",COUNTIF('СПИСОК КВАРТИР'!$C$3:$C51,"Онлайн"),"")</f>
        <v/>
      </c>
      <c r="C50">
        <f>IF('СПИСОК КВАРТИР'!$C51="Электронная",COUNTIF('СПИСОК КВАРТИР'!$C$3:$C51,"Электронная"),"")</f>
        <v/>
      </c>
    </row>
    <row r="51">
      <c r="A51">
        <f>IF('СПИСОК КВАРТИР'!$C52="Бумажная",COUNTIF('СПИСОК КВАРТИР'!$C$3:$C52,"Бумажная"),"")</f>
        <v/>
      </c>
      <c r="B51">
        <f>IF('СПИСОК КВАРТИР'!$C52="Онлайн",COUNTIF('СПИСОК КВАРТИР'!$C$3:$C52,"Онлайн"),"")</f>
        <v/>
      </c>
      <c r="C51">
        <f>IF('СПИСОК КВАРТИР'!$C52="Электронная",COUNTIF('СПИСОК КВАРТИР'!$C$3:$C52,"Электронная"),"")</f>
        <v/>
      </c>
    </row>
    <row r="52">
      <c r="A52">
        <f>IF('СПИСОК КВАРТИР'!$C53="Бумажная",COUNTIF('СПИСОК КВАРТИР'!$C$3:$C53,"Бумажная"),"")</f>
        <v/>
      </c>
      <c r="B52">
        <f>IF('СПИСОК КВАРТИР'!$C53="Онлайн",COUNTIF('СПИСОК КВАРТИР'!$C$3:$C53,"Онлайн"),"")</f>
        <v/>
      </c>
      <c r="C52">
        <f>IF('СПИСОК КВАРТИР'!$C53="Электронная",COUNTIF('СПИСОК КВАРТИР'!$C$3:$C53,"Электронная"),"")</f>
        <v/>
      </c>
    </row>
    <row r="53">
      <c r="A53">
        <f>IF('СПИСОК КВАРТИР'!$C54="Бумажная",COUNTIF('СПИСОК КВАРТИР'!$C$3:$C54,"Бумажная"),"")</f>
        <v/>
      </c>
      <c r="B53">
        <f>IF('СПИСОК КВАРТИР'!$C54="Онлайн",COUNTIF('СПИСОК КВАРТИР'!$C$3:$C54,"Онлайн"),"")</f>
        <v/>
      </c>
      <c r="C53">
        <f>IF('СПИСОК КВАРТИР'!$C54="Электронная",COUNTIF('СПИСОК КВАРТИР'!$C$3:$C54,"Электронная"),"")</f>
        <v/>
      </c>
    </row>
    <row r="54">
      <c r="A54">
        <f>IF('СПИСОК КВАРТИР'!$C55="Бумажная",COUNTIF('СПИСОК КВАРТИР'!$C$3:$C55,"Бумажная"),"")</f>
        <v/>
      </c>
      <c r="B54">
        <f>IF('СПИСОК КВАРТИР'!$C55="Онлайн",COUNTIF('СПИСОК КВАРТИР'!$C$3:$C55,"Онлайн"),"")</f>
        <v/>
      </c>
      <c r="C54">
        <f>IF('СПИСОК КВАРТИР'!$C55="Электронная",COUNTIF('СПИСОК КВАРТИР'!$C$3:$C55,"Электронная"),"")</f>
        <v/>
      </c>
    </row>
    <row r="55">
      <c r="A55">
        <f>IF('СПИСОК КВАРТИР'!$C56="Бумажная",COUNTIF('СПИСОК КВАРТИР'!$C$3:$C56,"Бумажная"),"")</f>
        <v/>
      </c>
      <c r="B55">
        <f>IF('СПИСОК КВАРТИР'!$C56="Онлайн",COUNTIF('СПИСОК КВАРТИР'!$C$3:$C56,"Онлайн"),"")</f>
        <v/>
      </c>
      <c r="C55">
        <f>IF('СПИСОК КВАРТИР'!$C56="Электронная",COUNTIF('СПИСОК КВАРТИР'!$C$3:$C56,"Электронная"),"")</f>
        <v/>
      </c>
    </row>
    <row r="56">
      <c r="A56">
        <f>IF('СПИСОК КВАРТИР'!$C57="Бумажная",COUNTIF('СПИСОК КВАРТИР'!$C$3:$C57,"Бумажная"),"")</f>
        <v/>
      </c>
      <c r="B56">
        <f>IF('СПИСОК КВАРТИР'!$C57="Онлайн",COUNTIF('СПИСОК КВАРТИР'!$C$3:$C57,"Онлайн"),"")</f>
        <v/>
      </c>
      <c r="C56">
        <f>IF('СПИСОК КВАРТИР'!$C57="Электронная",COUNTIF('СПИСОК КВАРТИР'!$C$3:$C57,"Электронная"),"")</f>
        <v/>
      </c>
    </row>
    <row r="57">
      <c r="A57">
        <f>IF('СПИСОК КВАРТИР'!$C58="Бумажная",COUNTIF('СПИСОК КВАРТИР'!$C$3:$C58,"Бумажная"),"")</f>
        <v/>
      </c>
      <c r="B57">
        <f>IF('СПИСОК КВАРТИР'!$C58="Онлайн",COUNTIF('СПИСОК КВАРТИР'!$C$3:$C58,"Онлайн"),"")</f>
        <v/>
      </c>
      <c r="C57">
        <f>IF('СПИСОК КВАРТИР'!$C58="Электронная",COUNTIF('СПИСОК КВАРТИР'!$C$3:$C58,"Электронная"),"")</f>
        <v/>
      </c>
    </row>
    <row r="58">
      <c r="A58">
        <f>IF('СПИСОК КВАРТИР'!$C59="Бумажная",COUNTIF('СПИСОК КВАРТИР'!$C$3:$C59,"Бумажная"),"")</f>
        <v/>
      </c>
      <c r="B58">
        <f>IF('СПИСОК КВАРТИР'!$C59="Онлайн",COUNTIF('СПИСОК КВАРТИР'!$C$3:$C59,"Онлайн"),"")</f>
        <v/>
      </c>
      <c r="C58">
        <f>IF('СПИСОК КВАРТИР'!$C59="Электронная",COUNTIF('СПИСОК КВАРТИР'!$C$3:$C59,"Электронная"),"")</f>
        <v/>
      </c>
    </row>
    <row r="59">
      <c r="A59">
        <f>IF('СПИСОК КВАРТИР'!$C60="Бумажная",COUNTIF('СПИСОК КВАРТИР'!$C$3:$C60,"Бумажная"),"")</f>
        <v/>
      </c>
      <c r="B59">
        <f>IF('СПИСОК КВАРТИР'!$C60="Онлайн",COUNTIF('СПИСОК КВАРТИР'!$C$3:$C60,"Онлайн"),"")</f>
        <v/>
      </c>
      <c r="C59">
        <f>IF('СПИСОК КВАРТИР'!$C60="Электронная",COUNTIF('СПИСОК КВАРТИР'!$C$3:$C60,"Электронная"),"")</f>
        <v/>
      </c>
    </row>
    <row r="60">
      <c r="A60">
        <f>IF('СПИСОК КВАРТИР'!$C61="Бумажная",COUNTIF('СПИСОК КВАРТИР'!$C$3:$C61,"Бумажная"),"")</f>
        <v/>
      </c>
      <c r="B60">
        <f>IF('СПИСОК КВАРТИР'!$C61="Онлайн",COUNTIF('СПИСОК КВАРТИР'!$C$3:$C61,"Онлайн"),"")</f>
        <v/>
      </c>
      <c r="C60">
        <f>IF('СПИСОК КВАРТИР'!$C61="Электронная",COUNTIF('СПИСОК КВАРТИР'!$C$3:$C61,"Электронная"),"")</f>
        <v/>
      </c>
    </row>
    <row r="61">
      <c r="A61">
        <f>IF('СПИСОК КВАРТИР'!$C62="Бумажная",COUNTIF('СПИСОК КВАРТИР'!$C$3:$C62,"Бумажная"),"")</f>
        <v/>
      </c>
      <c r="B61">
        <f>IF('СПИСОК КВАРТИР'!$C62="Онлайн",COUNTIF('СПИСОК КВАРТИР'!$C$3:$C62,"Онлайн"),"")</f>
        <v/>
      </c>
      <c r="C61">
        <f>IF('СПИСОК КВАРТИР'!$C62="Электронная",COUNTIF('СПИСОК КВАРТИР'!$C$3:$C62,"Электронная"),"")</f>
        <v/>
      </c>
    </row>
    <row r="62">
      <c r="A62">
        <f>IF('СПИСОК КВАРТИР'!$C63="Бумажная",COUNTIF('СПИСОК КВАРТИР'!$C$3:$C63,"Бумажная"),"")</f>
        <v/>
      </c>
      <c r="B62">
        <f>IF('СПИСОК КВАРТИР'!$C63="Онлайн",COUNTIF('СПИСОК КВАРТИР'!$C$3:$C63,"Онлайн"),"")</f>
        <v/>
      </c>
      <c r="C62">
        <f>IF('СПИСОК КВАРТИР'!$C63="Электронная",COUNTIF('СПИСОК КВАРТИР'!$C$3:$C63,"Электронная"),"")</f>
        <v/>
      </c>
    </row>
    <row r="63">
      <c r="A63">
        <f>IF('СПИСОК КВАРТИР'!$C64="Бумажная",COUNTIF('СПИСОК КВАРТИР'!$C$3:$C64,"Бумажная"),"")</f>
        <v/>
      </c>
      <c r="B63">
        <f>IF('СПИСОК КВАРТИР'!$C64="Онлайн",COUNTIF('СПИСОК КВАРТИР'!$C$3:$C64,"Онлайн"),"")</f>
        <v/>
      </c>
      <c r="C63">
        <f>IF('СПИСОК КВАРТИР'!$C64="Электронная",COUNTIF('СПИСОК КВАРТИР'!$C$3:$C64,"Электронная"),"")</f>
        <v/>
      </c>
    </row>
    <row r="64">
      <c r="A64">
        <f>IF('СПИСОК КВАРТИР'!$C65="Бумажная",COUNTIF('СПИСОК КВАРТИР'!$C$3:$C65,"Бумажная"),"")</f>
        <v/>
      </c>
      <c r="B64">
        <f>IF('СПИСОК КВАРТИР'!$C65="Онлайн",COUNTIF('СПИСОК КВАРТИР'!$C$3:$C65,"Онлайн"),"")</f>
        <v/>
      </c>
      <c r="C64">
        <f>IF('СПИСОК КВАРТИР'!$C65="Электронная",COUNTIF('СПИСОК КВАРТИР'!$C$3:$C65,"Электронная"),"")</f>
        <v/>
      </c>
    </row>
    <row r="65">
      <c r="A65">
        <f>IF('СПИСОК КВАРТИР'!$C66="Бумажная",COUNTIF('СПИСОК КВАРТИР'!$C$3:$C66,"Бумажная"),"")</f>
        <v/>
      </c>
      <c r="B65">
        <f>IF('СПИСОК КВАРТИР'!$C66="Онлайн",COUNTIF('СПИСОК КВАРТИР'!$C$3:$C66,"Онлайн"),"")</f>
        <v/>
      </c>
      <c r="C65">
        <f>IF('СПИСОК КВАРТИР'!$C66="Электронная",COUNTIF('СПИСОК КВАРТИР'!$C$3:$C66,"Электронная"),"")</f>
        <v/>
      </c>
    </row>
    <row r="66">
      <c r="A66">
        <f>IF('СПИСОК КВАРТИР'!$C67="Бумажная",COUNTIF('СПИСОК КВАРТИР'!$C$3:$C67,"Бумажная"),"")</f>
        <v/>
      </c>
      <c r="B66">
        <f>IF('СПИСОК КВАРТИР'!$C67="Онлайн",COUNTIF('СПИСОК КВАРТИР'!$C$3:$C67,"Онлайн"),"")</f>
        <v/>
      </c>
      <c r="C66">
        <f>IF('СПИСОК КВАРТИР'!$C67="Электронная",COUNTIF('СПИСОК КВАРТИР'!$C$3:$C67,"Электронная"),"")</f>
        <v/>
      </c>
    </row>
    <row r="67">
      <c r="A67">
        <f>IF('СПИСОК КВАРТИР'!$C68="Бумажная",COUNTIF('СПИСОК КВАРТИР'!$C$3:$C68,"Бумажная"),"")</f>
        <v/>
      </c>
      <c r="B67">
        <f>IF('СПИСОК КВАРТИР'!$C68="Онлайн",COUNTIF('СПИСОК КВАРТИР'!$C$3:$C68,"Онлайн"),"")</f>
        <v/>
      </c>
      <c r="C67">
        <f>IF('СПИСОК КВАРТИР'!$C68="Электронная",COUNTIF('СПИСОК КВАРТИР'!$C$3:$C68,"Электронная"),"")</f>
        <v/>
      </c>
    </row>
    <row r="68">
      <c r="A68">
        <f>IF('СПИСОК КВАРТИР'!$C69="Бумажная",COUNTIF('СПИСОК КВАРТИР'!$C$3:$C69,"Бумажная"),"")</f>
        <v/>
      </c>
      <c r="B68">
        <f>IF('СПИСОК КВАРТИР'!$C69="Онлайн",COUNTIF('СПИСОК КВАРТИР'!$C$3:$C69,"Онлайн"),"")</f>
        <v/>
      </c>
      <c r="C68">
        <f>IF('СПИСОК КВАРТИР'!$C69="Электронная",COUNTIF('СПИСОК КВАРТИР'!$C$3:$C69,"Электронная"),"")</f>
        <v/>
      </c>
    </row>
    <row r="69">
      <c r="A69">
        <f>IF('СПИСОК КВАРТИР'!$C70="Бумажная",COUNTIF('СПИСОК КВАРТИР'!$C$3:$C70,"Бумажная"),"")</f>
        <v/>
      </c>
      <c r="B69">
        <f>IF('СПИСОК КВАРТИР'!$C70="Онлайн",COUNTIF('СПИСОК КВАРТИР'!$C$3:$C70,"Онлайн"),"")</f>
        <v/>
      </c>
      <c r="C69">
        <f>IF('СПИСОК КВАРТИР'!$C70="Электронная",COUNTIF('СПИСОК КВАРТИР'!$C$3:$C70,"Электронная"),"")</f>
        <v/>
      </c>
    </row>
    <row r="70">
      <c r="A70">
        <f>IF('СПИСОК КВАРТИР'!$C71="Бумажная",COUNTIF('СПИСОК КВАРТИР'!$C$3:$C71,"Бумажная"),"")</f>
        <v/>
      </c>
      <c r="B70">
        <f>IF('СПИСОК КВАРТИР'!$C71="Онлайн",COUNTIF('СПИСОК КВАРТИР'!$C$3:$C71,"Онлайн"),"")</f>
        <v/>
      </c>
      <c r="C70">
        <f>IF('СПИСОК КВАРТИР'!$C71="Электронная",COUNTIF('СПИСОК КВАРТИР'!$C$3:$C71,"Электронная"),"")</f>
        <v/>
      </c>
    </row>
    <row r="71">
      <c r="A71">
        <f>IF('СПИСОК КВАРТИР'!$C72="Бумажная",COUNTIF('СПИСОК КВАРТИР'!$C$3:$C72,"Бумажная"),"")</f>
        <v/>
      </c>
      <c r="B71">
        <f>IF('СПИСОК КВАРТИР'!$C72="Онлайн",COUNTIF('СПИСОК КВАРТИР'!$C$3:$C72,"Онлайн"),"")</f>
        <v/>
      </c>
      <c r="C71">
        <f>IF('СПИСОК КВАРТИР'!$C72="Электронная",COUNTIF('СПИСОК КВАРТИР'!$C$3:$C72,"Электронная"),"")</f>
        <v/>
      </c>
    </row>
    <row r="72">
      <c r="A72">
        <f>IF('СПИСОК КВАРТИР'!$C73="Бумажная",COUNTIF('СПИСОК КВАРТИР'!$C$3:$C73,"Бумажная"),"")</f>
        <v/>
      </c>
      <c r="B72">
        <f>IF('СПИСОК КВАРТИР'!$C73="Онлайн",COUNTIF('СПИСОК КВАРТИР'!$C$3:$C73,"Онлайн"),"")</f>
        <v/>
      </c>
      <c r="C72">
        <f>IF('СПИСОК КВАРТИР'!$C73="Электронная",COUNTIF('СПИСОК КВАРТИР'!$C$3:$C73,"Электронная"),"")</f>
        <v/>
      </c>
    </row>
    <row r="73">
      <c r="A73">
        <f>IF('СПИСОК КВАРТИР'!$C74="Бумажная",COUNTIF('СПИСОК КВАРТИР'!$C$3:$C74,"Бумажная"),"")</f>
        <v/>
      </c>
      <c r="B73">
        <f>IF('СПИСОК КВАРТИР'!$C74="Онлайн",COUNTIF('СПИСОК КВАРТИР'!$C$3:$C74,"Онлайн"),"")</f>
        <v/>
      </c>
      <c r="C73">
        <f>IF('СПИСОК КВАРТИР'!$C74="Электронная",COUNTIF('СПИСОК КВАРТИР'!$C$3:$C74,"Электронная"),"")</f>
        <v/>
      </c>
    </row>
    <row r="74">
      <c r="A74">
        <f>IF('СПИСОК КВАРТИР'!$C75="Бумажная",COUNTIF('СПИСОК КВАРТИР'!$C$3:$C75,"Бумажная"),"")</f>
        <v/>
      </c>
      <c r="B74">
        <f>IF('СПИСОК КВАРТИР'!$C75="Онлайн",COUNTIF('СПИСОК КВАРТИР'!$C$3:$C75,"Онлайн"),"")</f>
        <v/>
      </c>
      <c r="C74">
        <f>IF('СПИСОК КВАРТИР'!$C75="Электронная",COUNTIF('СПИСОК КВАРТИР'!$C$3:$C75,"Электронная"),"")</f>
        <v/>
      </c>
    </row>
    <row r="75">
      <c r="A75">
        <f>IF('СПИСОК КВАРТИР'!$C76="Бумажная",COUNTIF('СПИСОК КВАРТИР'!$C$3:$C76,"Бумажная"),"")</f>
        <v/>
      </c>
      <c r="B75">
        <f>IF('СПИСОК КВАРТИР'!$C76="Онлайн",COUNTIF('СПИСОК КВАРТИР'!$C$3:$C76,"Онлайн"),"")</f>
        <v/>
      </c>
      <c r="C75">
        <f>IF('СПИСОК КВАРТИР'!$C76="Электронная",COUNTIF('СПИСОК КВАРТИР'!$C$3:$C76,"Электронная"),"")</f>
        <v/>
      </c>
    </row>
    <row r="76">
      <c r="A76">
        <f>IF('СПИСОК КВАРТИР'!$C77="Бумажная",COUNTIF('СПИСОК КВАРТИР'!$C$3:$C77,"Бумажная"),"")</f>
        <v/>
      </c>
      <c r="B76">
        <f>IF('СПИСОК КВАРТИР'!$C77="Онлайн",COUNTIF('СПИСОК КВАРТИР'!$C$3:$C77,"Онлайн"),"")</f>
        <v/>
      </c>
      <c r="C76">
        <f>IF('СПИСОК КВАРТИР'!$C77="Электронная",COUNTIF('СПИСОК КВАРТИР'!$C$3:$C77,"Электронная"),"")</f>
        <v/>
      </c>
    </row>
    <row r="77">
      <c r="A77">
        <f>IF('СПИСОК КВАРТИР'!$C78="Бумажная",COUNTIF('СПИСОК КВАРТИР'!$C$3:$C78,"Бумажная"),"")</f>
        <v/>
      </c>
      <c r="B77">
        <f>IF('СПИСОК КВАРТИР'!$C78="Онлайн",COUNTIF('СПИСОК КВАРТИР'!$C$3:$C78,"Онлайн"),"")</f>
        <v/>
      </c>
      <c r="C77">
        <f>IF('СПИСОК КВАРТИР'!$C78="Электронная",COUNTIF('СПИСОК КВАРТИР'!$C$3:$C78,"Электронная"),"")</f>
        <v/>
      </c>
    </row>
    <row r="78">
      <c r="A78">
        <f>IF('СПИСОК КВАРТИР'!$C79="Бумажная",COUNTIF('СПИСОК КВАРТИР'!$C$3:$C79,"Бумажная"),"")</f>
        <v/>
      </c>
      <c r="B78">
        <f>IF('СПИСОК КВАРТИР'!$C79="Онлайн",COUNTIF('СПИСОК КВАРТИР'!$C$3:$C79,"Онлайн"),"")</f>
        <v/>
      </c>
      <c r="C78">
        <f>IF('СПИСОК КВАРТИР'!$C79="Электронная",COUNTIF('СПИСОК КВАРТИР'!$C$3:$C79,"Электронная"),"")</f>
        <v/>
      </c>
    </row>
    <row r="79">
      <c r="A79">
        <f>IF('СПИСОК КВАРТИР'!$C80="Бумажная",COUNTIF('СПИСОК КВАРТИР'!$C$3:$C80,"Бумажная"),"")</f>
        <v/>
      </c>
      <c r="B79">
        <f>IF('СПИСОК КВАРТИР'!$C80="Онлайн",COUNTIF('СПИСОК КВАРТИР'!$C$3:$C80,"Онлайн"),"")</f>
        <v/>
      </c>
      <c r="C79">
        <f>IF('СПИСОК КВАРТИР'!$C80="Электронная",COUNTIF('СПИСОК КВАРТИР'!$C$3:$C80,"Электронная"),"")</f>
        <v/>
      </c>
    </row>
    <row r="80">
      <c r="A80">
        <f>IF('СПИСОК КВАРТИР'!$C81="Бумажная",COUNTIF('СПИСОК КВАРТИР'!$C$3:$C81,"Бумажная"),"")</f>
        <v/>
      </c>
      <c r="B80">
        <f>IF('СПИСОК КВАРТИР'!$C81="Онлайн",COUNTIF('СПИСОК КВАРТИР'!$C$3:$C81,"Онлайн"),"")</f>
        <v/>
      </c>
      <c r="C80">
        <f>IF('СПИСОК КВАРТИР'!$C81="Электронная",COUNTIF('СПИСОК КВАРТИР'!$C$3:$C81,"Электронная"),"")</f>
        <v/>
      </c>
    </row>
    <row r="81">
      <c r="A81">
        <f>IF('СПИСОК КВАРТИР'!$C82="Бумажная",COUNTIF('СПИСОК КВАРТИР'!$C$3:$C82,"Бумажная"),"")</f>
        <v/>
      </c>
      <c r="B81">
        <f>IF('СПИСОК КВАРТИР'!$C82="Онлайн",COUNTIF('СПИСОК КВАРТИР'!$C$3:$C82,"Онлайн"),"")</f>
        <v/>
      </c>
      <c r="C81">
        <f>IF('СПИСОК КВАРТИР'!$C82="Электронная",COUNTIF('СПИСОК КВАРТИР'!$C$3:$C82,"Электронная"),"")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2026-08-11T14:31:56Z</dcterms:created>
  <dcterms:modified xmlns:dcterms="http://purl.org/dc/terms/" xmlns:xsi="http://www.w3.org/2001/XMLSchema-instance" xsi:type="dcterms:W3CDTF">2026-08-11T14:31:56Z</dcterms:modified>
</cp:coreProperties>
</file>