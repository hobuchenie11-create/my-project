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ИСХОДНЫЕ ДАННЫЕ" sheetId="1" state="visible" r:id="rId1"/>
    <sheet name="ПРОПИСЬ" sheetId="2" state="hidden" r:id="rId2"/>
    <sheet name="Квитанция 1 кв" sheetId="3" state="visible" r:id="rId3"/>
    <sheet name="Квитанция 2 кв" sheetId="4" state="visible" r:id="rId4"/>
    <sheet name="Квитанция 3 кв" sheetId="5" state="visible" r:id="rId5"/>
    <sheet name="Квитанция 4 кв" sheetId="6" state="visible" r:id="rId6"/>
    <sheet name="Письмо 1 кв" sheetId="7" state="visible" r:id="rId7"/>
    <sheet name="Письмо 2 кв" sheetId="8" state="visible" r:id="rId8"/>
    <sheet name="Письмо 3 кв" sheetId="9" state="visible" r:id="rId9"/>
    <sheet name="Письмо 4 кв" sheetId="10" state="visible" r:id="rId10"/>
    <sheet name="ИНСТРУКЦИЯ" sheetId="11" state="visible" r:id="rId11"/>
  </sheets>
  <definedNames>
    <definedName name="ИД_ГОД">'ИСХОДНЫЕ ДАННЫЕ'!$C$5</definedName>
    <definedName name="ИД_ПЛОЩАДЬ">'ИСХОДНЫЕ ДАННЫЕ'!$C$6</definedName>
    <definedName name="ИД_ТАРИФ">'ИСХОДНЫЕ ДАННЫЕ'!$C$7</definedName>
    <definedName name="ИД_НАЧИСЛЕНО_МЕС">'ИСХОДНЫЕ ДАННЫЕ'!$C$8</definedName>
    <definedName name="ИД_ЛС">'ИСХОДНЫЕ ДАННЫЕ'!$C$11</definedName>
    <definedName name="ИД_КВАРТИРА">'ИСХОДНЫЕ ДАННЫЕ'!$C$12</definedName>
    <definedName name="ИД_КВАРТАЛЫ">'ИСХОДНЫЕ ДАННЫЕ'!$B$31:$F$34</definedName>
    <definedName name="_xlnm.Print_Area" localSheetId="0">'ИСХОДНЫЕ ДАННЫЕ'!$B$1:$F$52</definedName>
    <definedName name="_xlnm.Print_Area" localSheetId="2">'Квитанция 1 кв'!$A$1:$I$43</definedName>
    <definedName name="_xlnm.Print_Area" localSheetId="3">'Квитанция 2 кв'!$A$1:$I$43</definedName>
    <definedName name="_xlnm.Print_Area" localSheetId="4">'Квитанция 3 кв'!$A$1:$I$43</definedName>
    <definedName name="_xlnm.Print_Area" localSheetId="5">'Квитанция 4 кв'!$A$1:$I$43</definedName>
    <definedName name="_xlnm.Print_Area" localSheetId="6">'Письмо 1 кв'!$B$1:$F$27</definedName>
    <definedName name="_xlnm.Print_Area" localSheetId="7">'Письмо 2 кв'!$B$1:$F$27</definedName>
    <definedName name="_xlnm.Print_Area" localSheetId="8">'Письмо 3 кв'!$B$1:$F$27</definedName>
    <definedName name="_xlnm.Print_Area" localSheetId="9">'Письмо 4 кв'!$B$1:$F$27</definedName>
    <definedName name="_xlnm.Print_Area" localSheetId="10">'ИНСТРУКЦИЯ'!$A$1:$F$23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yyyy-mm-dd h:mm:ss"/>
    <numFmt numFmtId="166" formatCode="DD.MM.YYYY"/>
  </numFmts>
  <fonts count="26">
    <font>
      <name val="Calibri"/>
      <family val="2"/>
      <color theme="1"/>
      <sz val="11"/>
      <scheme val="minor"/>
    </font>
    <font>
      <name val="Arial"/>
      <b val="1"/>
      <color rgb="003F4A4F"/>
      <sz val="14"/>
    </font>
    <font>
      <name val="Arial"/>
      <i val="1"/>
      <color rgb="00666666"/>
      <sz val="9"/>
    </font>
    <font>
      <name val="Arial"/>
      <b val="1"/>
      <color rgb="00FFFFFF"/>
      <sz val="10"/>
    </font>
    <font>
      <name val="Arial"/>
      <b val="1"/>
      <color rgb="00263238"/>
      <sz val="10"/>
    </font>
    <font>
      <name val="Arial"/>
      <b val="1"/>
      <color rgb="003F4A4F"/>
      <sz val="10"/>
    </font>
    <font>
      <name val="Arial"/>
      <b val="1"/>
      <sz val="10"/>
    </font>
    <font>
      <name val="Arial"/>
      <b val="1"/>
      <color rgb="00FFFFFF"/>
      <sz val="9"/>
    </font>
    <font>
      <name val="Arial"/>
      <color rgb="003F4A4F"/>
      <sz val="10"/>
    </font>
    <font>
      <name val="Arial"/>
      <color rgb="00263238"/>
      <sz val="10"/>
    </font>
    <font>
      <name val="Arial"/>
      <b val="1"/>
      <sz val="9"/>
    </font>
    <font>
      <name val="Arial"/>
      <b val="1"/>
      <color rgb="00000000"/>
      <sz val="13"/>
    </font>
    <font>
      <name val="Arial"/>
      <b val="1"/>
      <color rgb="00000000"/>
      <sz val="9"/>
    </font>
    <font>
      <name val="Arial"/>
      <b val="1"/>
      <color rgb="00000000"/>
      <sz val="10"/>
    </font>
    <font>
      <name val="Arial"/>
      <b val="1"/>
      <color rgb="00000000"/>
      <sz val="8"/>
    </font>
    <font>
      <name val="Arial"/>
      <color rgb="00000000"/>
      <sz val="9"/>
    </font>
    <font>
      <name val="Arial"/>
      <b val="1"/>
      <color rgb="00000000"/>
      <sz val="11"/>
    </font>
    <font>
      <name val="Arial"/>
      <color rgb="00000000"/>
      <sz val="10"/>
    </font>
    <font>
      <name val="Arial"/>
      <b val="1"/>
      <color rgb="00000000"/>
      <sz val="14"/>
    </font>
    <font>
      <name val="Arial"/>
      <b val="1"/>
      <color rgb="00000000"/>
      <sz val="16"/>
    </font>
    <font>
      <name val="Arial"/>
      <i val="1"/>
      <color rgb="00000000"/>
      <sz val="8"/>
    </font>
    <font>
      <name val="Arial"/>
      <color rgb="00000000"/>
      <sz val="11"/>
    </font>
    <font>
      <name val="Arial"/>
      <i val="1"/>
      <color rgb="00000000"/>
      <sz val="11"/>
    </font>
    <font>
      <name val="Arial"/>
      <b val="1"/>
      <color rgb="000F6B70"/>
      <sz val="13"/>
    </font>
    <font>
      <name val="Arial"/>
      <b val="1"/>
      <color rgb="00263238"/>
      <sz val="11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003F4A4F"/>
      </patternFill>
    </fill>
    <fill>
      <patternFill patternType="solid">
        <fgColor rgb="00F3F5F5"/>
      </patternFill>
    </fill>
    <fill>
      <patternFill patternType="solid">
        <fgColor rgb="00EDEFF0"/>
      </patternFill>
    </fill>
    <fill>
      <patternFill patternType="solid">
        <fgColor rgb="00FFFFFF"/>
      </patternFill>
    </fill>
  </fills>
  <borders count="1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indent="1"/>
    </xf>
    <xf numFmtId="0" fontId="4" fillId="3" borderId="1" applyAlignment="1" pivotButton="0" quotePrefix="0" xfId="0">
      <alignment vertical="center" wrapText="1"/>
    </xf>
    <xf numFmtId="0" fontId="5" fillId="4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164" fontId="5" fillId="4" borderId="1" applyAlignment="1" pivotButton="0" quotePrefix="0" xfId="0">
      <alignment vertical="center" wrapText="1"/>
    </xf>
    <xf numFmtId="4" fontId="5" fillId="4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center" wrapText="1"/>
    </xf>
    <xf numFmtId="4" fontId="6" fillId="0" borderId="1" applyAlignment="1" pivotButton="0" quotePrefix="0" xfId="0">
      <alignment vertical="center" wrapText="1"/>
    </xf>
    <xf numFmtId="0" fontId="7" fillId="2" borderId="1" applyAlignment="1" pivotButton="0" quotePrefix="0" xfId="0">
      <alignment horizontal="center" vertical="center" wrapText="1"/>
    </xf>
    <xf numFmtId="4" fontId="8" fillId="4" borderId="1" applyAlignment="1" pivotButton="0" quotePrefix="0" xfId="0">
      <alignment vertical="center" wrapText="1"/>
    </xf>
    <xf numFmtId="0" fontId="8" fillId="4" borderId="1" applyAlignment="1" pivotButton="0" quotePrefix="0" xfId="0">
      <alignment vertical="center" wrapText="1"/>
    </xf>
    <xf numFmtId="166" fontId="8" fillId="4" borderId="1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0" fontId="9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10" fillId="0" borderId="0" pivotButton="0" quotePrefix="0" xfId="0"/>
    <xf numFmtId="0" fontId="11" fillId="5" borderId="2" applyAlignment="1" pivotButton="0" quotePrefix="0" xfId="0">
      <alignment horizontal="center" vertical="center" wrapText="1"/>
    </xf>
    <xf numFmtId="0" fontId="12" fillId="5" borderId="3" applyAlignment="1" pivotButton="0" quotePrefix="0" xfId="0">
      <alignment horizontal="left" vertical="center" indent="1"/>
    </xf>
    <xf numFmtId="0" fontId="12" fillId="5" borderId="4" applyAlignment="1" pivotButton="0" quotePrefix="0" xfId="0">
      <alignment horizontal="left" vertical="center" indent="1"/>
    </xf>
    <xf numFmtId="0" fontId="12" fillId="5" borderId="4" applyAlignment="1" pivotButton="0" quotePrefix="0" xfId="0">
      <alignment horizontal="right" vertical="center" indent="1"/>
    </xf>
    <xf numFmtId="0" fontId="12" fillId="5" borderId="5" applyAlignment="1" pivotButton="0" quotePrefix="0" xfId="0">
      <alignment horizontal="right" vertical="center" indent="1"/>
    </xf>
    <xf numFmtId="0" fontId="13" fillId="5" borderId="3" applyAlignment="1" pivotButton="0" quotePrefix="0" xfId="0">
      <alignment horizontal="left" vertical="center" indent="1"/>
    </xf>
    <xf numFmtId="0" fontId="13" fillId="5" borderId="4" applyAlignment="1" pivotButton="0" quotePrefix="0" xfId="0">
      <alignment horizontal="left" vertical="center" indent="1"/>
    </xf>
    <xf numFmtId="0" fontId="13" fillId="5" borderId="5" applyAlignment="1" pivotButton="0" quotePrefix="0" xfId="0">
      <alignment horizontal="left" vertical="center" indent="1"/>
    </xf>
    <xf numFmtId="0" fontId="14" fillId="5" borderId="7" applyAlignment="1" pivotButton="0" quotePrefix="0" xfId="0">
      <alignment horizontal="left" vertical="center" wrapText="1" indent="1"/>
    </xf>
    <xf numFmtId="0" fontId="12" fillId="5" borderId="1" applyAlignment="1" pivotButton="0" quotePrefix="0" xfId="0">
      <alignment horizontal="left" vertical="center" wrapText="1" indent="1"/>
    </xf>
    <xf numFmtId="0" fontId="12" fillId="5" borderId="8" applyAlignment="1" pivotButton="0" quotePrefix="0" xfId="0">
      <alignment horizontal="left" vertical="center" wrapText="1" indent="1"/>
    </xf>
    <xf numFmtId="0" fontId="14" fillId="5" borderId="7" applyAlignment="1" pivotButton="0" quotePrefix="0" xfId="0">
      <alignment horizontal="left" vertical="center" indent="1"/>
    </xf>
    <xf numFmtId="0" fontId="15" fillId="5" borderId="1" applyAlignment="1" pivotButton="0" quotePrefix="0" xfId="0">
      <alignment horizontal="left" vertical="center" indent="1"/>
    </xf>
    <xf numFmtId="0" fontId="15" fillId="5" borderId="8" applyAlignment="1" pivotButton="0" quotePrefix="0" xfId="0">
      <alignment horizontal="left" vertical="center" indent="1"/>
    </xf>
    <xf numFmtId="0" fontId="14" fillId="5" borderId="1" applyAlignment="1" pivotButton="0" quotePrefix="0" xfId="0">
      <alignment horizontal="left" vertical="center" indent="1"/>
    </xf>
    <xf numFmtId="0" fontId="13" fillId="5" borderId="1" applyAlignment="1" pivotButton="0" quotePrefix="0" xfId="0">
      <alignment horizontal="left" vertical="center" indent="1"/>
    </xf>
    <xf numFmtId="0" fontId="13" fillId="5" borderId="8" applyAlignment="1" pivotButton="0" quotePrefix="0" xfId="0">
      <alignment horizontal="left" vertical="center" indent="1"/>
    </xf>
    <xf numFmtId="0" fontId="14" fillId="5" borderId="9" applyAlignment="1" pivotButton="0" quotePrefix="0" xfId="0">
      <alignment horizontal="left" vertical="center" indent="1"/>
    </xf>
    <xf numFmtId="0" fontId="15" fillId="5" borderId="6" applyAlignment="1" pivotButton="0" quotePrefix="0" xfId="0">
      <alignment horizontal="left" vertical="center" indent="1"/>
    </xf>
    <xf numFmtId="0" fontId="14" fillId="5" borderId="6" applyAlignment="1" pivotButton="0" quotePrefix="0" xfId="0">
      <alignment horizontal="left" vertical="center" indent="1"/>
    </xf>
    <xf numFmtId="0" fontId="15" fillId="5" borderId="10" applyAlignment="1" pivotButton="0" quotePrefix="0" xfId="0">
      <alignment horizontal="left" vertical="center" indent="1"/>
    </xf>
    <xf numFmtId="0" fontId="16" fillId="5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left" vertical="center" wrapText="1" indent="1"/>
    </xf>
    <xf numFmtId="166" fontId="17" fillId="5" borderId="1" applyAlignment="1" pivotButton="0" quotePrefix="0" xfId="0">
      <alignment horizontal="center" vertical="center"/>
    </xf>
    <xf numFmtId="166" fontId="17" fillId="5" borderId="8" applyAlignment="1" pivotButton="0" quotePrefix="0" xfId="0">
      <alignment horizontal="center" vertical="center"/>
    </xf>
    <xf numFmtId="0" fontId="14" fillId="5" borderId="9" applyAlignment="1" pivotButton="0" quotePrefix="0" xfId="0">
      <alignment horizontal="left" vertical="center" wrapText="1" indent="1"/>
    </xf>
    <xf numFmtId="164" fontId="13" fillId="5" borderId="6" applyAlignment="1" pivotButton="0" quotePrefix="0" xfId="0">
      <alignment horizontal="center" vertical="center"/>
    </xf>
    <xf numFmtId="0" fontId="14" fillId="5" borderId="6" applyAlignment="1" pivotButton="0" quotePrefix="0" xfId="0">
      <alignment horizontal="left" vertical="center" wrapText="1" indent="1"/>
    </xf>
    <xf numFmtId="4" fontId="13" fillId="5" borderId="6" applyAlignment="1" pivotButton="0" quotePrefix="0" xfId="0">
      <alignment horizontal="center" vertical="center"/>
    </xf>
    <xf numFmtId="0" fontId="13" fillId="5" borderId="6" applyAlignment="1" pivotButton="0" quotePrefix="0" xfId="0">
      <alignment horizontal="center" vertical="center"/>
    </xf>
    <xf numFmtId="0" fontId="13" fillId="5" borderId="10" applyAlignment="1" pivotButton="0" quotePrefix="0" xfId="0">
      <alignment horizontal="center" vertical="center"/>
    </xf>
    <xf numFmtId="0" fontId="12" fillId="5" borderId="9" applyAlignment="1" pivotButton="0" quotePrefix="0" xfId="0">
      <alignment horizontal="center" vertical="center"/>
    </xf>
    <xf numFmtId="0" fontId="12" fillId="5" borderId="6" applyAlignment="1" pivotButton="0" quotePrefix="0" xfId="0">
      <alignment horizontal="center" vertical="center"/>
    </xf>
    <xf numFmtId="0" fontId="12" fillId="5" borderId="10" applyAlignment="1" pivotButton="0" quotePrefix="0" xfId="0">
      <alignment horizontal="center" vertical="center"/>
    </xf>
    <xf numFmtId="0" fontId="15" fillId="5" borderId="7" applyAlignment="1" pivotButton="0" quotePrefix="0" xfId="0">
      <alignment horizontal="left" vertical="center" indent="1"/>
    </xf>
    <xf numFmtId="0" fontId="15" fillId="5" borderId="1" applyAlignment="1" pivotButton="0" quotePrefix="0" xfId="0">
      <alignment horizontal="center" vertical="center"/>
    </xf>
    <xf numFmtId="4" fontId="13" fillId="5" borderId="8" applyAlignment="1" pivotButton="0" quotePrefix="0" xfId="0">
      <alignment horizontal="right" vertical="center" indent="1"/>
    </xf>
    <xf numFmtId="0" fontId="12" fillId="5" borderId="7" applyAlignment="1" pivotButton="0" quotePrefix="0" xfId="0">
      <alignment horizontal="left" vertical="center" indent="1"/>
    </xf>
    <xf numFmtId="0" fontId="12" fillId="5" borderId="1" applyAlignment="1" pivotButton="0" quotePrefix="0" xfId="0">
      <alignment horizontal="left" vertical="center" indent="1"/>
    </xf>
    <xf numFmtId="0" fontId="15" fillId="5" borderId="1" applyAlignment="1" pivotButton="0" quotePrefix="0" xfId="0">
      <alignment horizontal="center" vertical="center" wrapText="1"/>
    </xf>
    <xf numFmtId="0" fontId="18" fillId="5" borderId="3" applyAlignment="1" pivotButton="0" quotePrefix="0" xfId="0">
      <alignment horizontal="left" vertical="center" indent="1"/>
    </xf>
    <xf numFmtId="0" fontId="18" fillId="5" borderId="4" applyAlignment="1" pivotButton="0" quotePrefix="0" xfId="0">
      <alignment horizontal="left" vertical="center" indent="1"/>
    </xf>
    <xf numFmtId="4" fontId="19" fillId="5" borderId="2" applyAlignment="1" pivotButton="0" quotePrefix="0" xfId="0">
      <alignment horizontal="right" vertical="center" indent="1"/>
    </xf>
    <xf numFmtId="0" fontId="15" fillId="5" borderId="9" applyAlignment="1" pivotButton="0" quotePrefix="0" xfId="0">
      <alignment horizontal="left" vertical="center" indent="1"/>
    </xf>
    <xf numFmtId="4" fontId="13" fillId="5" borderId="6" applyAlignment="1" pivotButton="0" quotePrefix="0" xfId="0">
      <alignment horizontal="right" vertical="center" indent="1"/>
    </xf>
    <xf numFmtId="4" fontId="13" fillId="5" borderId="10" applyAlignment="1" pivotButton="0" quotePrefix="0" xfId="0">
      <alignment horizontal="right" vertical="center" indent="1"/>
    </xf>
    <xf numFmtId="0" fontId="15" fillId="5" borderId="7" applyAlignment="1" pivotButton="0" quotePrefix="0" xfId="0">
      <alignment horizontal="left" vertical="center" wrapText="1" indent="1"/>
    </xf>
    <xf numFmtId="0" fontId="15" fillId="5" borderId="1" applyAlignment="1" pivotButton="0" quotePrefix="0" xfId="0">
      <alignment horizontal="left" vertical="center" wrapText="1" indent="1"/>
    </xf>
    <xf numFmtId="0" fontId="12" fillId="5" borderId="1" applyAlignment="1" pivotButton="0" quotePrefix="0" xfId="0">
      <alignment horizontal="center" vertical="center" wrapText="1"/>
    </xf>
    <xf numFmtId="0" fontId="12" fillId="5" borderId="8" applyAlignment="1" pivotButton="0" quotePrefix="0" xfId="0">
      <alignment horizontal="center" vertical="center" wrapText="1"/>
    </xf>
    <xf numFmtId="0" fontId="12" fillId="5" borderId="9" applyAlignment="1" pivotButton="0" quotePrefix="0" xfId="0">
      <alignment horizontal="center" vertical="center" wrapText="1"/>
    </xf>
    <xf numFmtId="0" fontId="12" fillId="5" borderId="6" applyAlignment="1" pivotButton="0" quotePrefix="0" xfId="0">
      <alignment horizontal="center" vertical="center" wrapText="1"/>
    </xf>
    <xf numFmtId="0" fontId="12" fillId="5" borderId="10" applyAlignment="1" pivotButton="0" quotePrefix="0" xfId="0">
      <alignment horizontal="center" vertical="center" wrapText="1"/>
    </xf>
    <xf numFmtId="0" fontId="16" fillId="5" borderId="2" applyAlignment="1" pivotButton="0" quotePrefix="0" xfId="0">
      <alignment horizontal="center" vertical="center" wrapText="1"/>
    </xf>
    <xf numFmtId="0" fontId="15" fillId="5" borderId="0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 wrapText="1"/>
    </xf>
    <xf numFmtId="0" fontId="16" fillId="5" borderId="0" applyAlignment="1" pivotButton="0" quotePrefix="0" xfId="0">
      <alignment horizontal="left" vertical="top" wrapText="1"/>
    </xf>
    <xf numFmtId="0" fontId="21" fillId="5" borderId="0" applyAlignment="1" pivotButton="0" quotePrefix="0" xfId="0">
      <alignment horizontal="left" vertical="top" wrapText="1"/>
    </xf>
    <xf numFmtId="0" fontId="22" fillId="5" borderId="0" applyAlignment="1" pivotButton="0" quotePrefix="0" xfId="0">
      <alignment horizontal="left" vertical="top" wrapText="1"/>
    </xf>
    <xf numFmtId="0" fontId="21" fillId="5" borderId="0" applyAlignment="1" pivotButton="0" quotePrefix="0" xfId="0">
      <alignment horizontal="right" vertical="top" wrapText="1"/>
    </xf>
    <xf numFmtId="0" fontId="2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4" fillId="0" borderId="0" applyAlignment="1" pivotButton="0" quotePrefix="0" xfId="0">
      <alignment vertical="top" wrapText="1"/>
    </xf>
    <xf numFmtId="0" fontId="2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G5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28" customWidth="1" min="3" max="3"/>
    <col width="32" customWidth="1" min="4" max="4"/>
    <col width="13" customWidth="1" min="5" max="5"/>
    <col width="13" customWidth="1" min="6" max="6"/>
    <col width="13" customWidth="1" min="7" max="7"/>
  </cols>
  <sheetData>
    <row r="1" ht="26" customHeight="1">
      <c r="B1" s="1" t="inlineStr">
        <is>
          <t>ИСХОДНЫЕ ДАННЫЕ ДЛЯ КВИТАНЦИЙ И ПИСЕМ</t>
        </is>
      </c>
    </row>
    <row r="2" ht="16" customHeight="1">
      <c r="B2" s="2" t="inlineStr">
        <is>
          <t>Залитые ячейки — для ввода. Всё остальное в книге считается формулами от них; квитанции и письма пересчитаются сами.</t>
        </is>
      </c>
    </row>
    <row r="4" ht="20" customHeight="1">
      <c r="B4" s="3" t="inlineStr">
        <is>
          <t>1. РАСЧЁТ: ТАРИФ, ПЛОЩАДЬ, НАЧИСЛЕНИЕ</t>
        </is>
      </c>
      <c r="C4" s="3" t="n"/>
      <c r="D4" s="3" t="n"/>
      <c r="E4" s="3" t="n"/>
      <c r="F4" s="3" t="n"/>
      <c r="G4" s="3" t="n"/>
    </row>
    <row r="5" ht="30" customHeight="1">
      <c r="B5" s="4" t="inlineStr">
        <is>
          <t>Год</t>
        </is>
      </c>
      <c r="C5" s="5" t="n">
        <v>2026</v>
      </c>
      <c r="D5" s="6" t="inlineStr">
        <is>
          <t>Подставляется во все периоды</t>
        </is>
      </c>
    </row>
    <row r="6" ht="30" customHeight="1">
      <c r="B6" s="4" t="inlineStr">
        <is>
          <t>Площадь помещения, м²</t>
        </is>
      </c>
      <c r="C6" s="7" t="n">
        <v>64.5</v>
      </c>
      <c r="D6" s="6" t="inlineStr">
        <is>
          <t>Из образца</t>
        </is>
      </c>
    </row>
    <row r="7" ht="30" customHeight="1">
      <c r="B7" s="4" t="inlineStr">
        <is>
          <t>Размер взноса, руб./м² в месяц</t>
        </is>
      </c>
      <c r="C7" s="8" t="n">
        <v>15.3</v>
      </c>
      <c r="D7" s="6" t="inlineStr">
        <is>
          <t>Меняется ежегодно — правится здесь</t>
        </is>
      </c>
    </row>
    <row r="8" ht="30" customHeight="1">
      <c r="B8" s="9" t="inlineStr">
        <is>
          <t>Начислено за месяц, руб.</t>
        </is>
      </c>
      <c r="C8" s="10">
        <f>ROUND('ИСХОДНЫЕ ДАННЫЕ'!$C$6*'ИСХОДНЫЕ ДАННЫЕ'!$C$7,2)</f>
        <v/>
      </c>
      <c r="D8" s="6" t="inlineStr">
        <is>
          <t>Считается как площадь × тариф. Чтобы задать сумму вручную, замените формулу числом</t>
        </is>
      </c>
    </row>
    <row r="10" ht="20" customHeight="1">
      <c r="B10" s="3" t="inlineStr">
        <is>
          <t>2. ПЛАТЕЛЬЩИК И ПОМЕЩЕНИЕ</t>
        </is>
      </c>
      <c r="C10" s="3" t="n"/>
      <c r="D10" s="3" t="n"/>
      <c r="E10" s="3" t="n"/>
      <c r="F10" s="3" t="n"/>
      <c r="G10" s="3" t="n"/>
    </row>
    <row r="11" ht="30" customHeight="1">
      <c r="B11" s="4" t="inlineStr">
        <is>
          <t>Лицевой счёт</t>
        </is>
      </c>
      <c r="C11" s="5" t="n">
        <v>12</v>
      </c>
      <c r="D11" s="6" t="inlineStr">
        <is>
          <t>Лицевой счёт помещения по этому адресу</t>
        </is>
      </c>
    </row>
    <row r="12" ht="30" customHeight="1">
      <c r="B12" s="4" t="inlineStr">
        <is>
          <t>Квартира №</t>
        </is>
      </c>
      <c r="C12" s="5" t="n">
        <v>12</v>
      </c>
      <c r="D12" s="6" t="inlineStr">
        <is>
          <t>Из образца</t>
        </is>
      </c>
    </row>
    <row r="13" ht="30" customHeight="1">
      <c r="B13" s="4" t="inlineStr">
        <is>
          <t>Плательщик (собственник)</t>
        </is>
      </c>
      <c r="C13" s="5" t="inlineStr">
        <is>
          <t>Департамент жилищной политики Администрации города Омска</t>
        </is>
      </c>
      <c r="D13" s="6" t="inlineStr">
        <is>
          <t>Юридическое лицо — собственник помещения</t>
        </is>
      </c>
    </row>
    <row r="14" ht="30" customHeight="1">
      <c r="B14" s="4" t="inlineStr">
        <is>
          <t>Адрес МКД</t>
        </is>
      </c>
      <c r="C14" s="5" t="inlineStr">
        <is>
          <t>г. Омск, ул. Химиков, 43</t>
        </is>
      </c>
      <c r="D14" s="6" t="inlineStr">
        <is>
          <t>Не меняется</t>
        </is>
      </c>
    </row>
    <row r="15" ht="30" customHeight="1">
      <c r="B15" s="4" t="inlineStr">
        <is>
          <t>МКД кратко</t>
        </is>
      </c>
      <c r="C15" s="5" t="inlineStr">
        <is>
          <t>Химиков, 43</t>
        </is>
      </c>
      <c r="D15" s="6" t="inlineStr">
        <is>
          <t>Для подписи: «Председатель МКД …»</t>
        </is>
      </c>
    </row>
    <row r="17" ht="20" customHeight="1">
      <c r="B17" s="3" t="inlineStr">
        <is>
          <t>3. ПРЕДСЕДАТЕЛЬ СОВЕТА ДОМА (ОТ КОГО ПИСЬМО)</t>
        </is>
      </c>
      <c r="C17" s="3" t="n"/>
      <c r="D17" s="3" t="n"/>
      <c r="E17" s="3" t="n"/>
      <c r="F17" s="3" t="n"/>
      <c r="G17" s="3" t="n"/>
    </row>
    <row r="18" ht="30" customHeight="1">
      <c r="B18" s="4" t="inlineStr">
        <is>
          <t>ФИО в родительном падеже</t>
        </is>
      </c>
      <c r="C18" s="5" t="inlineStr">
        <is>
          <t>Насыковой Любови Валентиновны</t>
        </is>
      </c>
      <c r="D18" s="6" t="inlineStr">
        <is>
          <t>«от Председателя … Ивановой Марии Петровны»</t>
        </is>
      </c>
    </row>
    <row r="19" ht="30" customHeight="1">
      <c r="B19" s="4" t="inlineStr">
        <is>
          <t>ФИО кратко</t>
        </is>
      </c>
      <c r="C19" s="5" t="inlineStr">
        <is>
          <t>Насыкова Л.В.</t>
        </is>
      </c>
      <c r="D19" s="6" t="inlineStr">
        <is>
          <t>Для подписи</t>
        </is>
      </c>
    </row>
    <row r="20" ht="30" customHeight="1">
      <c r="B20" s="4" t="inlineStr">
        <is>
          <t>Адрес проживания</t>
        </is>
      </c>
      <c r="C20" s="5" t="inlineStr">
        <is>
          <t>г. Омск, ул. Химиков, 43, кв. ___</t>
        </is>
      </c>
      <c r="D20" s="6" t="inlineStr"/>
    </row>
    <row r="21" ht="30" customHeight="1">
      <c r="B21" s="4" t="inlineStr">
        <is>
          <t>Телефон</t>
        </is>
      </c>
      <c r="C21" s="5" t="inlineStr">
        <is>
          <t>8-908-104-82-52</t>
        </is>
      </c>
      <c r="D21" s="6" t="inlineStr"/>
    </row>
    <row r="22" ht="30" customHeight="1">
      <c r="B22" s="4" t="inlineStr">
        <is>
          <t>Электронная почта</t>
        </is>
      </c>
      <c r="C22" s="5" t="inlineStr">
        <is>
          <t>ak.hbr@mail.ru</t>
        </is>
      </c>
      <c r="D22" s="6" t="inlineStr"/>
    </row>
    <row r="24" ht="20" customHeight="1">
      <c r="B24" s="3" t="inlineStr">
        <is>
          <t>4. АДРЕСАТ ПИСЬМА (МЕНЯЕТСЯ ПРИ СМЕНЕ РУКОВОДИТЕЛЯ)</t>
        </is>
      </c>
      <c r="C24" s="3" t="n"/>
      <c r="D24" s="3" t="n"/>
      <c r="E24" s="3" t="n"/>
      <c r="F24" s="3" t="n"/>
      <c r="G24" s="3" t="n"/>
    </row>
    <row r="25" ht="30" customHeight="1">
      <c r="B25" s="4" t="inlineStr">
        <is>
          <t>Организация</t>
        </is>
      </c>
      <c r="C25" s="5" t="inlineStr">
        <is>
          <t>Департамент жилищной политики Администрации города Омска</t>
        </is>
      </c>
      <c r="D25" s="6" t="inlineStr"/>
    </row>
    <row r="26" ht="30" customHeight="1">
      <c r="B26" s="4" t="inlineStr">
        <is>
          <t>Должность руководителя</t>
        </is>
      </c>
      <c r="C26" s="5" t="inlineStr">
        <is>
          <t>Директору</t>
        </is>
      </c>
      <c r="D26" s="6" t="inlineStr">
        <is>
          <t>В дательном падеже: «Директору»</t>
        </is>
      </c>
    </row>
    <row r="27" ht="30" customHeight="1">
      <c r="B27" s="4" t="inlineStr">
        <is>
          <t>ФИО руководителя</t>
        </is>
      </c>
      <c r="C27" s="5" t="inlineStr"/>
      <c r="D27" s="6" t="inlineStr">
        <is>
          <t>Оставьте пустым — строка не напечатается</t>
        </is>
      </c>
    </row>
    <row r="29" ht="20" customHeight="1">
      <c r="B29" s="3" t="inlineStr">
        <is>
          <t>5. ПО КВАРТАЛАМ: ЗАДОЛЖЕННОСТЬ И ДАТЫ</t>
        </is>
      </c>
      <c r="C29" s="3" t="n"/>
      <c r="D29" s="3" t="n"/>
      <c r="E29" s="3" t="n"/>
      <c r="F29" s="3" t="n"/>
      <c r="G29" s="3" t="n"/>
    </row>
    <row r="30" ht="32" customHeight="1">
      <c r="B30" s="11" t="inlineStr">
        <is>
          <t>Квартал</t>
        </is>
      </c>
      <c r="C30" s="11" t="inlineStr">
        <is>
          <t>Задолженность (−переплата), руб.</t>
        </is>
      </c>
      <c r="D30" s="11" t="inlineStr">
        <is>
          <t>Описание</t>
        </is>
      </c>
      <c r="E30" s="11" t="inlineStr">
        <is>
          <t>Дата формирования</t>
        </is>
      </c>
      <c r="F30" s="11" t="inlineStr">
        <is>
          <t>Поступило с начала года, руб.</t>
        </is>
      </c>
    </row>
    <row r="31" ht="30" customHeight="1">
      <c r="B31" s="4" t="inlineStr">
        <is>
          <t>I квартал</t>
        </is>
      </c>
      <c r="C31" s="12" t="n">
        <v>0</v>
      </c>
      <c r="D31" s="13" t="inlineStr"/>
      <c r="E31" s="14" t="n">
        <v>46037</v>
      </c>
      <c r="F31" s="12" t="n"/>
    </row>
    <row r="32" ht="30" customHeight="1">
      <c r="B32" s="4" t="inlineStr">
        <is>
          <t>II квартал</t>
        </is>
      </c>
      <c r="C32" s="12" t="n">
        <v>0</v>
      </c>
      <c r="D32" s="13" t="inlineStr"/>
      <c r="E32" s="14" t="n">
        <v>46127</v>
      </c>
      <c r="F32" s="12" t="n"/>
    </row>
    <row r="33" ht="30" customHeight="1">
      <c r="B33" s="4" t="inlineStr">
        <is>
          <t>III квартал</t>
        </is>
      </c>
      <c r="C33" s="12" t="n">
        <v>-7407.18</v>
      </c>
      <c r="D33" s="13" t="inlineStr">
        <is>
          <t>переплата на 01.04.2026</t>
        </is>
      </c>
      <c r="E33" s="14" t="n">
        <v>46242</v>
      </c>
      <c r="F33" s="12" t="n"/>
    </row>
    <row r="34" ht="30" customHeight="1">
      <c r="B34" s="4" t="inlineStr">
        <is>
          <t>IV квартал</t>
        </is>
      </c>
      <c r="C34" s="12" t="n">
        <v>0</v>
      </c>
      <c r="D34" s="13" t="inlineStr"/>
      <c r="E34" s="14" t="n">
        <v>46310</v>
      </c>
      <c r="F34" s="12" t="n"/>
    </row>
    <row r="36">
      <c r="B36" s="15" t="inlineStr">
        <is>
          <t>Задолженность и даты — единственное, что меняется от квартала к кварталу. Столбец «Поступило» можно не заполнять: в квитанции тогда встанет прочерк.</t>
        </is>
      </c>
    </row>
    <row r="37"/>
    <row r="39" ht="20" customHeight="1">
      <c r="B39" s="3" t="inlineStr">
        <is>
          <t>6. РЕКВИЗИТЫ СПЕЦИАЛЬНОГО СЧЁТА (НЕ МЕНЯЮТСЯ)</t>
        </is>
      </c>
      <c r="C39" s="3" t="n"/>
      <c r="D39" s="3" t="n"/>
      <c r="E39" s="3" t="n"/>
      <c r="F39" s="3" t="n"/>
      <c r="G39" s="3" t="n"/>
    </row>
    <row r="40" ht="52" customHeight="1">
      <c r="B40" s="4" t="inlineStr">
        <is>
          <t>Получатель платежа</t>
        </is>
      </c>
      <c r="C40" s="16" t="inlineStr">
        <is>
          <t>РЕГИОНАЛЬНЫЙ ФОНД КАПИТАЛЬНОГО РЕМОНТА МНОГОКВАРТИРНЫХ ДОМОВ ОМСКОЙ ОБЛАСТИ (СПЕЦ. СЧЕТ)</t>
        </is>
      </c>
      <c r="D40" s="17" t="n"/>
    </row>
    <row r="41" ht="30" customHeight="1">
      <c r="B41" s="4" t="inlineStr">
        <is>
          <t>Юридический адрес</t>
        </is>
      </c>
      <c r="C41" s="16" t="inlineStr">
        <is>
          <t>644099, г. Омск, ул. Краснофлотская, 24</t>
        </is>
      </c>
      <c r="D41" s="17" t="n"/>
    </row>
    <row r="42" ht="30" customHeight="1">
      <c r="B42" s="4" t="inlineStr">
        <is>
          <t>ИНН</t>
        </is>
      </c>
      <c r="C42" s="16" t="inlineStr">
        <is>
          <t>5503239348</t>
        </is>
      </c>
      <c r="D42" s="17" t="n"/>
    </row>
    <row r="43" ht="30" customHeight="1">
      <c r="B43" s="4" t="inlineStr">
        <is>
          <t>КПП</t>
        </is>
      </c>
      <c r="C43" s="16" t="inlineStr">
        <is>
          <t>550301001</t>
        </is>
      </c>
      <c r="D43" s="17" t="n"/>
    </row>
    <row r="44" ht="30" customHeight="1">
      <c r="B44" s="4" t="inlineStr">
        <is>
          <t>ОГРН</t>
        </is>
      </c>
      <c r="C44" s="16" t="inlineStr">
        <is>
          <t>1027700342890</t>
        </is>
      </c>
      <c r="D44" s="17" t="n"/>
    </row>
    <row r="45" ht="30" customHeight="1">
      <c r="B45" s="4" t="inlineStr">
        <is>
          <t>Расчётный счёт (спец. счёт МКД)</t>
        </is>
      </c>
      <c r="C45" s="16" t="inlineStr">
        <is>
          <t>40604810309000000146</t>
        </is>
      </c>
      <c r="D45" s="17" t="n"/>
    </row>
    <row r="46" ht="30" customHeight="1">
      <c r="B46" s="4" t="inlineStr">
        <is>
          <t>Банк</t>
        </is>
      </c>
      <c r="C46" s="16" t="inlineStr">
        <is>
          <t>Омский РФ АО «Россельхозбанк»</t>
        </is>
      </c>
      <c r="D46" s="17" t="n"/>
    </row>
    <row r="47" ht="30" customHeight="1">
      <c r="B47" s="4" t="inlineStr">
        <is>
          <t>Корреспондентский счёт</t>
        </is>
      </c>
      <c r="C47" s="16" t="inlineStr">
        <is>
          <t>30101810900000000822</t>
        </is>
      </c>
      <c r="D47" s="17" t="n"/>
    </row>
    <row r="48" ht="30" customHeight="1">
      <c r="B48" s="4" t="inlineStr">
        <is>
          <t>БИК</t>
        </is>
      </c>
      <c r="C48" s="16" t="inlineStr">
        <is>
          <t>045209822</t>
        </is>
      </c>
      <c r="D48" s="17" t="n"/>
    </row>
    <row r="49" ht="30" customHeight="1">
      <c r="B49" s="4" t="inlineStr">
        <is>
          <t>ИНН/КПП банка</t>
        </is>
      </c>
      <c r="C49" s="16" t="inlineStr">
        <is>
          <t>7725114488 / 550502001</t>
        </is>
      </c>
      <c r="D49" s="17" t="n"/>
    </row>
    <row r="50" ht="30" customHeight="1">
      <c r="B50" s="4" t="inlineStr">
        <is>
          <t>День срока оплаты</t>
        </is>
      </c>
      <c r="C50" s="16" t="n">
        <v>15</v>
      </c>
      <c r="D50" s="6" t="inlineStr">
        <is>
          <t>Единый срок по ч. 1 ст. 155 и ч. 2 ст. 171 ЖК РФ (ФЗ от 24.06.2025 № 177-ФЗ)</t>
        </is>
      </c>
    </row>
  </sheetData>
  <mergeCells count="9">
    <mergeCell ref="B24:G24"/>
    <mergeCell ref="B2:G2"/>
    <mergeCell ref="B10:G10"/>
    <mergeCell ref="B17:G17"/>
    <mergeCell ref="B1:G1"/>
    <mergeCell ref="B4:G4"/>
    <mergeCell ref="B36:G37"/>
    <mergeCell ref="B29:G29"/>
    <mergeCell ref="B39:G39"/>
  </mergeCells>
  <pageMargins left="0.4" right="0.4" top="0.4" bottom="0.4" header="0.5" footer="0.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01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Число</t>
        </is>
      </c>
      <c r="B1" s="18" t="inlineStr">
        <is>
          <t>Прописью (муж.)</t>
        </is>
      </c>
      <c r="C1" s="18" t="inlineStr">
        <is>
          <t>Форма рубля</t>
        </is>
      </c>
      <c r="D1" s="18" t="inlineStr">
        <is>
          <t>Прописью (жен.)</t>
        </is>
      </c>
      <c r="E1" s="18" t="inlineStr">
        <is>
          <t>Форма тысячи</t>
        </is>
      </c>
      <c r="F1" s="18" t="inlineStr">
        <is>
          <t>Форма копейки</t>
        </is>
      </c>
    </row>
    <row r="2">
      <c r="A2" t="n">
        <v>0</v>
      </c>
      <c r="B2" t="inlineStr">
        <is>
          <t>ноль</t>
        </is>
      </c>
      <c r="C2" t="inlineStr">
        <is>
          <t>рублей</t>
        </is>
      </c>
      <c r="D2" t="inlineStr">
        <is>
          <t>ноль</t>
        </is>
      </c>
      <c r="E2" t="inlineStr">
        <is>
          <t>тысяч</t>
        </is>
      </c>
      <c r="F2" t="inlineStr">
        <is>
          <t>копеек</t>
        </is>
      </c>
    </row>
    <row r="3">
      <c r="A3" t="n">
        <v>1</v>
      </c>
      <c r="B3" t="inlineStr">
        <is>
          <t>один</t>
        </is>
      </c>
      <c r="C3" t="inlineStr">
        <is>
          <t>рубль</t>
        </is>
      </c>
      <c r="D3" t="inlineStr">
        <is>
          <t>одна</t>
        </is>
      </c>
      <c r="E3" t="inlineStr">
        <is>
          <t>тысяча</t>
        </is>
      </c>
      <c r="F3" t="inlineStr">
        <is>
          <t>копейка</t>
        </is>
      </c>
    </row>
    <row r="4">
      <c r="A4" t="n">
        <v>2</v>
      </c>
      <c r="B4" t="inlineStr">
        <is>
          <t>два</t>
        </is>
      </c>
      <c r="C4" t="inlineStr">
        <is>
          <t>рубля</t>
        </is>
      </c>
      <c r="D4" t="inlineStr">
        <is>
          <t>две</t>
        </is>
      </c>
      <c r="E4" t="inlineStr">
        <is>
          <t>тысячи</t>
        </is>
      </c>
      <c r="F4" t="inlineStr">
        <is>
          <t>копейки</t>
        </is>
      </c>
    </row>
    <row r="5">
      <c r="A5" t="n">
        <v>3</v>
      </c>
      <c r="B5" t="inlineStr">
        <is>
          <t>три</t>
        </is>
      </c>
      <c r="C5" t="inlineStr">
        <is>
          <t>рубля</t>
        </is>
      </c>
      <c r="D5" t="inlineStr">
        <is>
          <t>три</t>
        </is>
      </c>
      <c r="E5" t="inlineStr">
        <is>
          <t>тысячи</t>
        </is>
      </c>
      <c r="F5" t="inlineStr">
        <is>
          <t>копейки</t>
        </is>
      </c>
    </row>
    <row r="6">
      <c r="A6" t="n">
        <v>4</v>
      </c>
      <c r="B6" t="inlineStr">
        <is>
          <t>четыре</t>
        </is>
      </c>
      <c r="C6" t="inlineStr">
        <is>
          <t>рубля</t>
        </is>
      </c>
      <c r="D6" t="inlineStr">
        <is>
          <t>четыре</t>
        </is>
      </c>
      <c r="E6" t="inlineStr">
        <is>
          <t>тысячи</t>
        </is>
      </c>
      <c r="F6" t="inlineStr">
        <is>
          <t>копейки</t>
        </is>
      </c>
    </row>
    <row r="7">
      <c r="A7" t="n">
        <v>5</v>
      </c>
      <c r="B7" t="inlineStr">
        <is>
          <t>пять</t>
        </is>
      </c>
      <c r="C7" t="inlineStr">
        <is>
          <t>рублей</t>
        </is>
      </c>
      <c r="D7" t="inlineStr">
        <is>
          <t>пять</t>
        </is>
      </c>
      <c r="E7" t="inlineStr">
        <is>
          <t>тысяч</t>
        </is>
      </c>
      <c r="F7" t="inlineStr">
        <is>
          <t>копеек</t>
        </is>
      </c>
    </row>
    <row r="8">
      <c r="A8" t="n">
        <v>6</v>
      </c>
      <c r="B8" t="inlineStr">
        <is>
          <t>шесть</t>
        </is>
      </c>
      <c r="C8" t="inlineStr">
        <is>
          <t>рублей</t>
        </is>
      </c>
      <c r="D8" t="inlineStr">
        <is>
          <t>шесть</t>
        </is>
      </c>
      <c r="E8" t="inlineStr">
        <is>
          <t>тысяч</t>
        </is>
      </c>
      <c r="F8" t="inlineStr">
        <is>
          <t>копеек</t>
        </is>
      </c>
    </row>
    <row r="9">
      <c r="A9" t="n">
        <v>7</v>
      </c>
      <c r="B9" t="inlineStr">
        <is>
          <t>семь</t>
        </is>
      </c>
      <c r="C9" t="inlineStr">
        <is>
          <t>рублей</t>
        </is>
      </c>
      <c r="D9" t="inlineStr">
        <is>
          <t>семь</t>
        </is>
      </c>
      <c r="E9" t="inlineStr">
        <is>
          <t>тысяч</t>
        </is>
      </c>
      <c r="F9" t="inlineStr">
        <is>
          <t>копеек</t>
        </is>
      </c>
    </row>
    <row r="10">
      <c r="A10" t="n">
        <v>8</v>
      </c>
      <c r="B10" t="inlineStr">
        <is>
          <t>восемь</t>
        </is>
      </c>
      <c r="C10" t="inlineStr">
        <is>
          <t>рублей</t>
        </is>
      </c>
      <c r="D10" t="inlineStr">
        <is>
          <t>восемь</t>
        </is>
      </c>
      <c r="E10" t="inlineStr">
        <is>
          <t>тысяч</t>
        </is>
      </c>
      <c r="F10" t="inlineStr">
        <is>
          <t>копеек</t>
        </is>
      </c>
    </row>
    <row r="11">
      <c r="A11" t="n">
        <v>9</v>
      </c>
      <c r="B11" t="inlineStr">
        <is>
          <t>девять</t>
        </is>
      </c>
      <c r="C11" t="inlineStr">
        <is>
          <t>рублей</t>
        </is>
      </c>
      <c r="D11" t="inlineStr">
        <is>
          <t>девять</t>
        </is>
      </c>
      <c r="E11" t="inlineStr">
        <is>
          <t>тысяч</t>
        </is>
      </c>
      <c r="F11" t="inlineStr">
        <is>
          <t>копеек</t>
        </is>
      </c>
    </row>
    <row r="12">
      <c r="A12" t="n">
        <v>10</v>
      </c>
      <c r="B12" t="inlineStr">
        <is>
          <t>десять</t>
        </is>
      </c>
      <c r="C12" t="inlineStr">
        <is>
          <t>рублей</t>
        </is>
      </c>
      <c r="D12" t="inlineStr">
        <is>
          <t>десять</t>
        </is>
      </c>
      <c r="E12" t="inlineStr">
        <is>
          <t>тысяч</t>
        </is>
      </c>
      <c r="F12" t="inlineStr">
        <is>
          <t>копеек</t>
        </is>
      </c>
    </row>
    <row r="13">
      <c r="A13" t="n">
        <v>11</v>
      </c>
      <c r="B13" t="inlineStr">
        <is>
          <t>одиннадцать</t>
        </is>
      </c>
      <c r="C13" t="inlineStr">
        <is>
          <t>рублей</t>
        </is>
      </c>
      <c r="D13" t="inlineStr">
        <is>
          <t>одиннадцать</t>
        </is>
      </c>
      <c r="E13" t="inlineStr">
        <is>
          <t>тысяч</t>
        </is>
      </c>
      <c r="F13" t="inlineStr">
        <is>
          <t>копеек</t>
        </is>
      </c>
    </row>
    <row r="14">
      <c r="A14" t="n">
        <v>12</v>
      </c>
      <c r="B14" t="inlineStr">
        <is>
          <t>двенадцать</t>
        </is>
      </c>
      <c r="C14" t="inlineStr">
        <is>
          <t>рублей</t>
        </is>
      </c>
      <c r="D14" t="inlineStr">
        <is>
          <t>двенадцать</t>
        </is>
      </c>
      <c r="E14" t="inlineStr">
        <is>
          <t>тысяч</t>
        </is>
      </c>
      <c r="F14" t="inlineStr">
        <is>
          <t>копеек</t>
        </is>
      </c>
    </row>
    <row r="15">
      <c r="A15" t="n">
        <v>13</v>
      </c>
      <c r="B15" t="inlineStr">
        <is>
          <t>тринадцать</t>
        </is>
      </c>
      <c r="C15" t="inlineStr">
        <is>
          <t>рублей</t>
        </is>
      </c>
      <c r="D15" t="inlineStr">
        <is>
          <t>тринадцать</t>
        </is>
      </c>
      <c r="E15" t="inlineStr">
        <is>
          <t>тысяч</t>
        </is>
      </c>
      <c r="F15" t="inlineStr">
        <is>
          <t>копеек</t>
        </is>
      </c>
    </row>
    <row r="16">
      <c r="A16" t="n">
        <v>14</v>
      </c>
      <c r="B16" t="inlineStr">
        <is>
          <t>четырнадцать</t>
        </is>
      </c>
      <c r="C16" t="inlineStr">
        <is>
          <t>рублей</t>
        </is>
      </c>
      <c r="D16" t="inlineStr">
        <is>
          <t>четырнадцать</t>
        </is>
      </c>
      <c r="E16" t="inlineStr">
        <is>
          <t>тысяч</t>
        </is>
      </c>
      <c r="F16" t="inlineStr">
        <is>
          <t>копеек</t>
        </is>
      </c>
    </row>
    <row r="17">
      <c r="A17" t="n">
        <v>15</v>
      </c>
      <c r="B17" t="inlineStr">
        <is>
          <t>пятнадцать</t>
        </is>
      </c>
      <c r="C17" t="inlineStr">
        <is>
          <t>рублей</t>
        </is>
      </c>
      <c r="D17" t="inlineStr">
        <is>
          <t>пятнадцать</t>
        </is>
      </c>
      <c r="E17" t="inlineStr">
        <is>
          <t>тысяч</t>
        </is>
      </c>
      <c r="F17" t="inlineStr">
        <is>
          <t>копеек</t>
        </is>
      </c>
    </row>
    <row r="18">
      <c r="A18" t="n">
        <v>16</v>
      </c>
      <c r="B18" t="inlineStr">
        <is>
          <t>шестнадцать</t>
        </is>
      </c>
      <c r="C18" t="inlineStr">
        <is>
          <t>рублей</t>
        </is>
      </c>
      <c r="D18" t="inlineStr">
        <is>
          <t>шестнадцать</t>
        </is>
      </c>
      <c r="E18" t="inlineStr">
        <is>
          <t>тысяч</t>
        </is>
      </c>
      <c r="F18" t="inlineStr">
        <is>
          <t>копеек</t>
        </is>
      </c>
    </row>
    <row r="19">
      <c r="A19" t="n">
        <v>17</v>
      </c>
      <c r="B19" t="inlineStr">
        <is>
          <t>семнадцать</t>
        </is>
      </c>
      <c r="C19" t="inlineStr">
        <is>
          <t>рублей</t>
        </is>
      </c>
      <c r="D19" t="inlineStr">
        <is>
          <t>семнадцать</t>
        </is>
      </c>
      <c r="E19" t="inlineStr">
        <is>
          <t>тысяч</t>
        </is>
      </c>
      <c r="F19" t="inlineStr">
        <is>
          <t>копеек</t>
        </is>
      </c>
    </row>
    <row r="20">
      <c r="A20" t="n">
        <v>18</v>
      </c>
      <c r="B20" t="inlineStr">
        <is>
          <t>восемнадцать</t>
        </is>
      </c>
      <c r="C20" t="inlineStr">
        <is>
          <t>рублей</t>
        </is>
      </c>
      <c r="D20" t="inlineStr">
        <is>
          <t>восемнадцать</t>
        </is>
      </c>
      <c r="E20" t="inlineStr">
        <is>
          <t>тысяч</t>
        </is>
      </c>
      <c r="F20" t="inlineStr">
        <is>
          <t>копеек</t>
        </is>
      </c>
    </row>
    <row r="21">
      <c r="A21" t="n">
        <v>19</v>
      </c>
      <c r="B21" t="inlineStr">
        <is>
          <t>девятнадцать</t>
        </is>
      </c>
      <c r="C21" t="inlineStr">
        <is>
          <t>рублей</t>
        </is>
      </c>
      <c r="D21" t="inlineStr">
        <is>
          <t>девятнадцать</t>
        </is>
      </c>
      <c r="E21" t="inlineStr">
        <is>
          <t>тысяч</t>
        </is>
      </c>
      <c r="F21" t="inlineStr">
        <is>
          <t>копеек</t>
        </is>
      </c>
    </row>
    <row r="22">
      <c r="A22" t="n">
        <v>20</v>
      </c>
      <c r="B22" t="inlineStr">
        <is>
          <t>двадцать</t>
        </is>
      </c>
      <c r="C22" t="inlineStr">
        <is>
          <t>рублей</t>
        </is>
      </c>
      <c r="D22" t="inlineStr">
        <is>
          <t>двадцать</t>
        </is>
      </c>
      <c r="E22" t="inlineStr">
        <is>
          <t>тысяч</t>
        </is>
      </c>
      <c r="F22" t="inlineStr">
        <is>
          <t>копеек</t>
        </is>
      </c>
    </row>
    <row r="23">
      <c r="A23" t="n">
        <v>21</v>
      </c>
      <c r="B23" t="inlineStr">
        <is>
          <t>двадцать один</t>
        </is>
      </c>
      <c r="C23" t="inlineStr">
        <is>
          <t>рубль</t>
        </is>
      </c>
      <c r="D23" t="inlineStr">
        <is>
          <t>двадцать одна</t>
        </is>
      </c>
      <c r="E23" t="inlineStr">
        <is>
          <t>тысяча</t>
        </is>
      </c>
      <c r="F23" t="inlineStr">
        <is>
          <t>копейка</t>
        </is>
      </c>
    </row>
    <row r="24">
      <c r="A24" t="n">
        <v>22</v>
      </c>
      <c r="B24" t="inlineStr">
        <is>
          <t>двадцать два</t>
        </is>
      </c>
      <c r="C24" t="inlineStr">
        <is>
          <t>рубля</t>
        </is>
      </c>
      <c r="D24" t="inlineStr">
        <is>
          <t>двадцать две</t>
        </is>
      </c>
      <c r="E24" t="inlineStr">
        <is>
          <t>тысячи</t>
        </is>
      </c>
      <c r="F24" t="inlineStr">
        <is>
          <t>копейки</t>
        </is>
      </c>
    </row>
    <row r="25">
      <c r="A25" t="n">
        <v>23</v>
      </c>
      <c r="B25" t="inlineStr">
        <is>
          <t>двадцать три</t>
        </is>
      </c>
      <c r="C25" t="inlineStr">
        <is>
          <t>рубля</t>
        </is>
      </c>
      <c r="D25" t="inlineStr">
        <is>
          <t>двадцать три</t>
        </is>
      </c>
      <c r="E25" t="inlineStr">
        <is>
          <t>тысячи</t>
        </is>
      </c>
      <c r="F25" t="inlineStr">
        <is>
          <t>копейки</t>
        </is>
      </c>
    </row>
    <row r="26">
      <c r="A26" t="n">
        <v>24</v>
      </c>
      <c r="B26" t="inlineStr">
        <is>
          <t>двадцать четыре</t>
        </is>
      </c>
      <c r="C26" t="inlineStr">
        <is>
          <t>рубля</t>
        </is>
      </c>
      <c r="D26" t="inlineStr">
        <is>
          <t>двадцать четыре</t>
        </is>
      </c>
      <c r="E26" t="inlineStr">
        <is>
          <t>тысячи</t>
        </is>
      </c>
      <c r="F26" t="inlineStr">
        <is>
          <t>копейки</t>
        </is>
      </c>
    </row>
    <row r="27">
      <c r="A27" t="n">
        <v>25</v>
      </c>
      <c r="B27" t="inlineStr">
        <is>
          <t>двадцать пять</t>
        </is>
      </c>
      <c r="C27" t="inlineStr">
        <is>
          <t>рублей</t>
        </is>
      </c>
      <c r="D27" t="inlineStr">
        <is>
          <t>двадцать пять</t>
        </is>
      </c>
      <c r="E27" t="inlineStr">
        <is>
          <t>тысяч</t>
        </is>
      </c>
      <c r="F27" t="inlineStr">
        <is>
          <t>копеек</t>
        </is>
      </c>
    </row>
    <row r="28">
      <c r="A28" t="n">
        <v>26</v>
      </c>
      <c r="B28" t="inlineStr">
        <is>
          <t>двадцать шесть</t>
        </is>
      </c>
      <c r="C28" t="inlineStr">
        <is>
          <t>рублей</t>
        </is>
      </c>
      <c r="D28" t="inlineStr">
        <is>
          <t>двадцать шесть</t>
        </is>
      </c>
      <c r="E28" t="inlineStr">
        <is>
          <t>тысяч</t>
        </is>
      </c>
      <c r="F28" t="inlineStr">
        <is>
          <t>копеек</t>
        </is>
      </c>
    </row>
    <row r="29">
      <c r="A29" t="n">
        <v>27</v>
      </c>
      <c r="B29" t="inlineStr">
        <is>
          <t>двадцать семь</t>
        </is>
      </c>
      <c r="C29" t="inlineStr">
        <is>
          <t>рублей</t>
        </is>
      </c>
      <c r="D29" t="inlineStr">
        <is>
          <t>двадцать семь</t>
        </is>
      </c>
      <c r="E29" t="inlineStr">
        <is>
          <t>тысяч</t>
        </is>
      </c>
      <c r="F29" t="inlineStr">
        <is>
          <t>копеек</t>
        </is>
      </c>
    </row>
    <row r="30">
      <c r="A30" t="n">
        <v>28</v>
      </c>
      <c r="B30" t="inlineStr">
        <is>
          <t>двадцать восемь</t>
        </is>
      </c>
      <c r="C30" t="inlineStr">
        <is>
          <t>рублей</t>
        </is>
      </c>
      <c r="D30" t="inlineStr">
        <is>
          <t>двадцать восемь</t>
        </is>
      </c>
      <c r="E30" t="inlineStr">
        <is>
          <t>тысяч</t>
        </is>
      </c>
      <c r="F30" t="inlineStr">
        <is>
          <t>копеек</t>
        </is>
      </c>
    </row>
    <row r="31">
      <c r="A31" t="n">
        <v>29</v>
      </c>
      <c r="B31" t="inlineStr">
        <is>
          <t>двадцать девять</t>
        </is>
      </c>
      <c r="C31" t="inlineStr">
        <is>
          <t>рублей</t>
        </is>
      </c>
      <c r="D31" t="inlineStr">
        <is>
          <t>двадцать девять</t>
        </is>
      </c>
      <c r="E31" t="inlineStr">
        <is>
          <t>тысяч</t>
        </is>
      </c>
      <c r="F31" t="inlineStr">
        <is>
          <t>копеек</t>
        </is>
      </c>
    </row>
    <row r="32">
      <c r="A32" t="n">
        <v>30</v>
      </c>
      <c r="B32" t="inlineStr">
        <is>
          <t>тридцать</t>
        </is>
      </c>
      <c r="C32" t="inlineStr">
        <is>
          <t>рублей</t>
        </is>
      </c>
      <c r="D32" t="inlineStr">
        <is>
          <t>тридцать</t>
        </is>
      </c>
      <c r="E32" t="inlineStr">
        <is>
          <t>тысяч</t>
        </is>
      </c>
      <c r="F32" t="inlineStr">
        <is>
          <t>копеек</t>
        </is>
      </c>
    </row>
    <row r="33">
      <c r="A33" t="n">
        <v>31</v>
      </c>
      <c r="B33" t="inlineStr">
        <is>
          <t>тридцать один</t>
        </is>
      </c>
      <c r="C33" t="inlineStr">
        <is>
          <t>рубль</t>
        </is>
      </c>
      <c r="D33" t="inlineStr">
        <is>
          <t>тридцать одна</t>
        </is>
      </c>
      <c r="E33" t="inlineStr">
        <is>
          <t>тысяча</t>
        </is>
      </c>
      <c r="F33" t="inlineStr">
        <is>
          <t>копейка</t>
        </is>
      </c>
    </row>
    <row r="34">
      <c r="A34" t="n">
        <v>32</v>
      </c>
      <c r="B34" t="inlineStr">
        <is>
          <t>тридцать два</t>
        </is>
      </c>
      <c r="C34" t="inlineStr">
        <is>
          <t>рубля</t>
        </is>
      </c>
      <c r="D34" t="inlineStr">
        <is>
          <t>тридцать две</t>
        </is>
      </c>
      <c r="E34" t="inlineStr">
        <is>
          <t>тысячи</t>
        </is>
      </c>
      <c r="F34" t="inlineStr">
        <is>
          <t>копейки</t>
        </is>
      </c>
    </row>
    <row r="35">
      <c r="A35" t="n">
        <v>33</v>
      </c>
      <c r="B35" t="inlineStr">
        <is>
          <t>тридцать три</t>
        </is>
      </c>
      <c r="C35" t="inlineStr">
        <is>
          <t>рубля</t>
        </is>
      </c>
      <c r="D35" t="inlineStr">
        <is>
          <t>тридцать три</t>
        </is>
      </c>
      <c r="E35" t="inlineStr">
        <is>
          <t>тысячи</t>
        </is>
      </c>
      <c r="F35" t="inlineStr">
        <is>
          <t>копейки</t>
        </is>
      </c>
    </row>
    <row r="36">
      <c r="A36" t="n">
        <v>34</v>
      </c>
      <c r="B36" t="inlineStr">
        <is>
          <t>тридцать четыре</t>
        </is>
      </c>
      <c r="C36" t="inlineStr">
        <is>
          <t>рубля</t>
        </is>
      </c>
      <c r="D36" t="inlineStr">
        <is>
          <t>тридцать четыре</t>
        </is>
      </c>
      <c r="E36" t="inlineStr">
        <is>
          <t>тысячи</t>
        </is>
      </c>
      <c r="F36" t="inlineStr">
        <is>
          <t>копейки</t>
        </is>
      </c>
    </row>
    <row r="37">
      <c r="A37" t="n">
        <v>35</v>
      </c>
      <c r="B37" t="inlineStr">
        <is>
          <t>тридцать пять</t>
        </is>
      </c>
      <c r="C37" t="inlineStr">
        <is>
          <t>рублей</t>
        </is>
      </c>
      <c r="D37" t="inlineStr">
        <is>
          <t>тридцать пять</t>
        </is>
      </c>
      <c r="E37" t="inlineStr">
        <is>
          <t>тысяч</t>
        </is>
      </c>
      <c r="F37" t="inlineStr">
        <is>
          <t>копеек</t>
        </is>
      </c>
    </row>
    <row r="38">
      <c r="A38" t="n">
        <v>36</v>
      </c>
      <c r="B38" t="inlineStr">
        <is>
          <t>тридцать шесть</t>
        </is>
      </c>
      <c r="C38" t="inlineStr">
        <is>
          <t>рублей</t>
        </is>
      </c>
      <c r="D38" t="inlineStr">
        <is>
          <t>тридцать шесть</t>
        </is>
      </c>
      <c r="E38" t="inlineStr">
        <is>
          <t>тысяч</t>
        </is>
      </c>
      <c r="F38" t="inlineStr">
        <is>
          <t>копеек</t>
        </is>
      </c>
    </row>
    <row r="39">
      <c r="A39" t="n">
        <v>37</v>
      </c>
      <c r="B39" t="inlineStr">
        <is>
          <t>тридцать семь</t>
        </is>
      </c>
      <c r="C39" t="inlineStr">
        <is>
          <t>рублей</t>
        </is>
      </c>
      <c r="D39" t="inlineStr">
        <is>
          <t>тридцать семь</t>
        </is>
      </c>
      <c r="E39" t="inlineStr">
        <is>
          <t>тысяч</t>
        </is>
      </c>
      <c r="F39" t="inlineStr">
        <is>
          <t>копеек</t>
        </is>
      </c>
    </row>
    <row r="40">
      <c r="A40" t="n">
        <v>38</v>
      </c>
      <c r="B40" t="inlineStr">
        <is>
          <t>тридцать восемь</t>
        </is>
      </c>
      <c r="C40" t="inlineStr">
        <is>
          <t>рублей</t>
        </is>
      </c>
      <c r="D40" t="inlineStr">
        <is>
          <t>тридцать восемь</t>
        </is>
      </c>
      <c r="E40" t="inlineStr">
        <is>
          <t>тысяч</t>
        </is>
      </c>
      <c r="F40" t="inlineStr">
        <is>
          <t>копеек</t>
        </is>
      </c>
    </row>
    <row r="41">
      <c r="A41" t="n">
        <v>39</v>
      </c>
      <c r="B41" t="inlineStr">
        <is>
          <t>тридцать девять</t>
        </is>
      </c>
      <c r="C41" t="inlineStr">
        <is>
          <t>рублей</t>
        </is>
      </c>
      <c r="D41" t="inlineStr">
        <is>
          <t>тридцать девять</t>
        </is>
      </c>
      <c r="E41" t="inlineStr">
        <is>
          <t>тысяч</t>
        </is>
      </c>
      <c r="F41" t="inlineStr">
        <is>
          <t>копеек</t>
        </is>
      </c>
    </row>
    <row r="42">
      <c r="A42" t="n">
        <v>40</v>
      </c>
      <c r="B42" t="inlineStr">
        <is>
          <t>сорок</t>
        </is>
      </c>
      <c r="C42" t="inlineStr">
        <is>
          <t>рублей</t>
        </is>
      </c>
      <c r="D42" t="inlineStr">
        <is>
          <t>сорок</t>
        </is>
      </c>
      <c r="E42" t="inlineStr">
        <is>
          <t>тысяч</t>
        </is>
      </c>
      <c r="F42" t="inlineStr">
        <is>
          <t>копеек</t>
        </is>
      </c>
    </row>
    <row r="43">
      <c r="A43" t="n">
        <v>41</v>
      </c>
      <c r="B43" t="inlineStr">
        <is>
          <t>сорок один</t>
        </is>
      </c>
      <c r="C43" t="inlineStr">
        <is>
          <t>рубль</t>
        </is>
      </c>
      <c r="D43" t="inlineStr">
        <is>
          <t>сорок одна</t>
        </is>
      </c>
      <c r="E43" t="inlineStr">
        <is>
          <t>тысяча</t>
        </is>
      </c>
      <c r="F43" t="inlineStr">
        <is>
          <t>копейка</t>
        </is>
      </c>
    </row>
    <row r="44">
      <c r="A44" t="n">
        <v>42</v>
      </c>
      <c r="B44" t="inlineStr">
        <is>
          <t>сорок два</t>
        </is>
      </c>
      <c r="C44" t="inlineStr">
        <is>
          <t>рубля</t>
        </is>
      </c>
      <c r="D44" t="inlineStr">
        <is>
          <t>сорок две</t>
        </is>
      </c>
      <c r="E44" t="inlineStr">
        <is>
          <t>тысячи</t>
        </is>
      </c>
      <c r="F44" t="inlineStr">
        <is>
          <t>копейки</t>
        </is>
      </c>
    </row>
    <row r="45">
      <c r="A45" t="n">
        <v>43</v>
      </c>
      <c r="B45" t="inlineStr">
        <is>
          <t>сорок три</t>
        </is>
      </c>
      <c r="C45" t="inlineStr">
        <is>
          <t>рубля</t>
        </is>
      </c>
      <c r="D45" t="inlineStr">
        <is>
          <t>сорок три</t>
        </is>
      </c>
      <c r="E45" t="inlineStr">
        <is>
          <t>тысячи</t>
        </is>
      </c>
      <c r="F45" t="inlineStr">
        <is>
          <t>копейки</t>
        </is>
      </c>
    </row>
    <row r="46">
      <c r="A46" t="n">
        <v>44</v>
      </c>
      <c r="B46" t="inlineStr">
        <is>
          <t>сорок четыре</t>
        </is>
      </c>
      <c r="C46" t="inlineStr">
        <is>
          <t>рубля</t>
        </is>
      </c>
      <c r="D46" t="inlineStr">
        <is>
          <t>сорок четыре</t>
        </is>
      </c>
      <c r="E46" t="inlineStr">
        <is>
          <t>тысячи</t>
        </is>
      </c>
      <c r="F46" t="inlineStr">
        <is>
          <t>копейки</t>
        </is>
      </c>
    </row>
    <row r="47">
      <c r="A47" t="n">
        <v>45</v>
      </c>
      <c r="B47" t="inlineStr">
        <is>
          <t>сорок пять</t>
        </is>
      </c>
      <c r="C47" t="inlineStr">
        <is>
          <t>рублей</t>
        </is>
      </c>
      <c r="D47" t="inlineStr">
        <is>
          <t>сорок пять</t>
        </is>
      </c>
      <c r="E47" t="inlineStr">
        <is>
          <t>тысяч</t>
        </is>
      </c>
      <c r="F47" t="inlineStr">
        <is>
          <t>копеек</t>
        </is>
      </c>
    </row>
    <row r="48">
      <c r="A48" t="n">
        <v>46</v>
      </c>
      <c r="B48" t="inlineStr">
        <is>
          <t>сорок шесть</t>
        </is>
      </c>
      <c r="C48" t="inlineStr">
        <is>
          <t>рублей</t>
        </is>
      </c>
      <c r="D48" t="inlineStr">
        <is>
          <t>сорок шесть</t>
        </is>
      </c>
      <c r="E48" t="inlineStr">
        <is>
          <t>тысяч</t>
        </is>
      </c>
      <c r="F48" t="inlineStr">
        <is>
          <t>копеек</t>
        </is>
      </c>
    </row>
    <row r="49">
      <c r="A49" t="n">
        <v>47</v>
      </c>
      <c r="B49" t="inlineStr">
        <is>
          <t>сорок семь</t>
        </is>
      </c>
      <c r="C49" t="inlineStr">
        <is>
          <t>рублей</t>
        </is>
      </c>
      <c r="D49" t="inlineStr">
        <is>
          <t>сорок семь</t>
        </is>
      </c>
      <c r="E49" t="inlineStr">
        <is>
          <t>тысяч</t>
        </is>
      </c>
      <c r="F49" t="inlineStr">
        <is>
          <t>копеек</t>
        </is>
      </c>
    </row>
    <row r="50">
      <c r="A50" t="n">
        <v>48</v>
      </c>
      <c r="B50" t="inlineStr">
        <is>
          <t>сорок восемь</t>
        </is>
      </c>
      <c r="C50" t="inlineStr">
        <is>
          <t>рублей</t>
        </is>
      </c>
      <c r="D50" t="inlineStr">
        <is>
          <t>сорок восемь</t>
        </is>
      </c>
      <c r="E50" t="inlineStr">
        <is>
          <t>тысяч</t>
        </is>
      </c>
      <c r="F50" t="inlineStr">
        <is>
          <t>копеек</t>
        </is>
      </c>
    </row>
    <row r="51">
      <c r="A51" t="n">
        <v>49</v>
      </c>
      <c r="B51" t="inlineStr">
        <is>
          <t>сорок девять</t>
        </is>
      </c>
      <c r="C51" t="inlineStr">
        <is>
          <t>рублей</t>
        </is>
      </c>
      <c r="D51" t="inlineStr">
        <is>
          <t>сорок девять</t>
        </is>
      </c>
      <c r="E51" t="inlineStr">
        <is>
          <t>тысяч</t>
        </is>
      </c>
      <c r="F51" t="inlineStr">
        <is>
          <t>копеек</t>
        </is>
      </c>
    </row>
    <row r="52">
      <c r="A52" t="n">
        <v>50</v>
      </c>
      <c r="B52" t="inlineStr">
        <is>
          <t>пятьдесят</t>
        </is>
      </c>
      <c r="C52" t="inlineStr">
        <is>
          <t>рублей</t>
        </is>
      </c>
      <c r="D52" t="inlineStr">
        <is>
          <t>пятьдесят</t>
        </is>
      </c>
      <c r="E52" t="inlineStr">
        <is>
          <t>тысяч</t>
        </is>
      </c>
      <c r="F52" t="inlineStr">
        <is>
          <t>копеек</t>
        </is>
      </c>
    </row>
    <row r="53">
      <c r="A53" t="n">
        <v>51</v>
      </c>
      <c r="B53" t="inlineStr">
        <is>
          <t>пятьдесят один</t>
        </is>
      </c>
      <c r="C53" t="inlineStr">
        <is>
          <t>рубль</t>
        </is>
      </c>
      <c r="D53" t="inlineStr">
        <is>
          <t>пятьдесят одна</t>
        </is>
      </c>
      <c r="E53" t="inlineStr">
        <is>
          <t>тысяча</t>
        </is>
      </c>
      <c r="F53" t="inlineStr">
        <is>
          <t>копейка</t>
        </is>
      </c>
    </row>
    <row r="54">
      <c r="A54" t="n">
        <v>52</v>
      </c>
      <c r="B54" t="inlineStr">
        <is>
          <t>пятьдесят два</t>
        </is>
      </c>
      <c r="C54" t="inlineStr">
        <is>
          <t>рубля</t>
        </is>
      </c>
      <c r="D54" t="inlineStr">
        <is>
          <t>пятьдесят две</t>
        </is>
      </c>
      <c r="E54" t="inlineStr">
        <is>
          <t>тысячи</t>
        </is>
      </c>
      <c r="F54" t="inlineStr">
        <is>
          <t>копейки</t>
        </is>
      </c>
    </row>
    <row r="55">
      <c r="A55" t="n">
        <v>53</v>
      </c>
      <c r="B55" t="inlineStr">
        <is>
          <t>пятьдесят три</t>
        </is>
      </c>
      <c r="C55" t="inlineStr">
        <is>
          <t>рубля</t>
        </is>
      </c>
      <c r="D55" t="inlineStr">
        <is>
          <t>пятьдесят три</t>
        </is>
      </c>
      <c r="E55" t="inlineStr">
        <is>
          <t>тысячи</t>
        </is>
      </c>
      <c r="F55" t="inlineStr">
        <is>
          <t>копейки</t>
        </is>
      </c>
    </row>
    <row r="56">
      <c r="A56" t="n">
        <v>54</v>
      </c>
      <c r="B56" t="inlineStr">
        <is>
          <t>пятьдесят четыре</t>
        </is>
      </c>
      <c r="C56" t="inlineStr">
        <is>
          <t>рубля</t>
        </is>
      </c>
      <c r="D56" t="inlineStr">
        <is>
          <t>пятьдесят четыре</t>
        </is>
      </c>
      <c r="E56" t="inlineStr">
        <is>
          <t>тысячи</t>
        </is>
      </c>
      <c r="F56" t="inlineStr">
        <is>
          <t>копейки</t>
        </is>
      </c>
    </row>
    <row r="57">
      <c r="A57" t="n">
        <v>55</v>
      </c>
      <c r="B57" t="inlineStr">
        <is>
          <t>пятьдесят пять</t>
        </is>
      </c>
      <c r="C57" t="inlineStr">
        <is>
          <t>рублей</t>
        </is>
      </c>
      <c r="D57" t="inlineStr">
        <is>
          <t>пятьдесят пять</t>
        </is>
      </c>
      <c r="E57" t="inlineStr">
        <is>
          <t>тысяч</t>
        </is>
      </c>
      <c r="F57" t="inlineStr">
        <is>
          <t>копеек</t>
        </is>
      </c>
    </row>
    <row r="58">
      <c r="A58" t="n">
        <v>56</v>
      </c>
      <c r="B58" t="inlineStr">
        <is>
          <t>пятьдесят шесть</t>
        </is>
      </c>
      <c r="C58" t="inlineStr">
        <is>
          <t>рублей</t>
        </is>
      </c>
      <c r="D58" t="inlineStr">
        <is>
          <t>пятьдесят шесть</t>
        </is>
      </c>
      <c r="E58" t="inlineStr">
        <is>
          <t>тысяч</t>
        </is>
      </c>
      <c r="F58" t="inlineStr">
        <is>
          <t>копеек</t>
        </is>
      </c>
    </row>
    <row r="59">
      <c r="A59" t="n">
        <v>57</v>
      </c>
      <c r="B59" t="inlineStr">
        <is>
          <t>пятьдесят семь</t>
        </is>
      </c>
      <c r="C59" t="inlineStr">
        <is>
          <t>рублей</t>
        </is>
      </c>
      <c r="D59" t="inlineStr">
        <is>
          <t>пятьдесят семь</t>
        </is>
      </c>
      <c r="E59" t="inlineStr">
        <is>
          <t>тысяч</t>
        </is>
      </c>
      <c r="F59" t="inlineStr">
        <is>
          <t>копеек</t>
        </is>
      </c>
    </row>
    <row r="60">
      <c r="A60" t="n">
        <v>58</v>
      </c>
      <c r="B60" t="inlineStr">
        <is>
          <t>пятьдесят восемь</t>
        </is>
      </c>
      <c r="C60" t="inlineStr">
        <is>
          <t>рублей</t>
        </is>
      </c>
      <c r="D60" t="inlineStr">
        <is>
          <t>пятьдесят восемь</t>
        </is>
      </c>
      <c r="E60" t="inlineStr">
        <is>
          <t>тысяч</t>
        </is>
      </c>
      <c r="F60" t="inlineStr">
        <is>
          <t>копеек</t>
        </is>
      </c>
    </row>
    <row r="61">
      <c r="A61" t="n">
        <v>59</v>
      </c>
      <c r="B61" t="inlineStr">
        <is>
          <t>пятьдесят девять</t>
        </is>
      </c>
      <c r="C61" t="inlineStr">
        <is>
          <t>рублей</t>
        </is>
      </c>
      <c r="D61" t="inlineStr">
        <is>
          <t>пятьдесят девять</t>
        </is>
      </c>
      <c r="E61" t="inlineStr">
        <is>
          <t>тысяч</t>
        </is>
      </c>
      <c r="F61" t="inlineStr">
        <is>
          <t>копеек</t>
        </is>
      </c>
    </row>
    <row r="62">
      <c r="A62" t="n">
        <v>60</v>
      </c>
      <c r="B62" t="inlineStr">
        <is>
          <t>шестьдесят</t>
        </is>
      </c>
      <c r="C62" t="inlineStr">
        <is>
          <t>рублей</t>
        </is>
      </c>
      <c r="D62" t="inlineStr">
        <is>
          <t>шестьдесят</t>
        </is>
      </c>
      <c r="E62" t="inlineStr">
        <is>
          <t>тысяч</t>
        </is>
      </c>
      <c r="F62" t="inlineStr">
        <is>
          <t>копеек</t>
        </is>
      </c>
    </row>
    <row r="63">
      <c r="A63" t="n">
        <v>61</v>
      </c>
      <c r="B63" t="inlineStr">
        <is>
          <t>шестьдесят один</t>
        </is>
      </c>
      <c r="C63" t="inlineStr">
        <is>
          <t>рубль</t>
        </is>
      </c>
      <c r="D63" t="inlineStr">
        <is>
          <t>шестьдесят одна</t>
        </is>
      </c>
      <c r="E63" t="inlineStr">
        <is>
          <t>тысяча</t>
        </is>
      </c>
      <c r="F63" t="inlineStr">
        <is>
          <t>копейка</t>
        </is>
      </c>
    </row>
    <row r="64">
      <c r="A64" t="n">
        <v>62</v>
      </c>
      <c r="B64" t="inlineStr">
        <is>
          <t>шестьдесят два</t>
        </is>
      </c>
      <c r="C64" t="inlineStr">
        <is>
          <t>рубля</t>
        </is>
      </c>
      <c r="D64" t="inlineStr">
        <is>
          <t>шестьдесят две</t>
        </is>
      </c>
      <c r="E64" t="inlineStr">
        <is>
          <t>тысячи</t>
        </is>
      </c>
      <c r="F64" t="inlineStr">
        <is>
          <t>копейки</t>
        </is>
      </c>
    </row>
    <row r="65">
      <c r="A65" t="n">
        <v>63</v>
      </c>
      <c r="B65" t="inlineStr">
        <is>
          <t>шестьдесят три</t>
        </is>
      </c>
      <c r="C65" t="inlineStr">
        <is>
          <t>рубля</t>
        </is>
      </c>
      <c r="D65" t="inlineStr">
        <is>
          <t>шестьдесят три</t>
        </is>
      </c>
      <c r="E65" t="inlineStr">
        <is>
          <t>тысячи</t>
        </is>
      </c>
      <c r="F65" t="inlineStr">
        <is>
          <t>копейки</t>
        </is>
      </c>
    </row>
    <row r="66">
      <c r="A66" t="n">
        <v>64</v>
      </c>
      <c r="B66" t="inlineStr">
        <is>
          <t>шестьдесят четыре</t>
        </is>
      </c>
      <c r="C66" t="inlineStr">
        <is>
          <t>рубля</t>
        </is>
      </c>
      <c r="D66" t="inlineStr">
        <is>
          <t>шестьдесят четыре</t>
        </is>
      </c>
      <c r="E66" t="inlineStr">
        <is>
          <t>тысячи</t>
        </is>
      </c>
      <c r="F66" t="inlineStr">
        <is>
          <t>копейки</t>
        </is>
      </c>
    </row>
    <row r="67">
      <c r="A67" t="n">
        <v>65</v>
      </c>
      <c r="B67" t="inlineStr">
        <is>
          <t>шестьдесят пять</t>
        </is>
      </c>
      <c r="C67" t="inlineStr">
        <is>
          <t>рублей</t>
        </is>
      </c>
      <c r="D67" t="inlineStr">
        <is>
          <t>шестьдесят пять</t>
        </is>
      </c>
      <c r="E67" t="inlineStr">
        <is>
          <t>тысяч</t>
        </is>
      </c>
      <c r="F67" t="inlineStr">
        <is>
          <t>копеек</t>
        </is>
      </c>
    </row>
    <row r="68">
      <c r="A68" t="n">
        <v>66</v>
      </c>
      <c r="B68" t="inlineStr">
        <is>
          <t>шестьдесят шесть</t>
        </is>
      </c>
      <c r="C68" t="inlineStr">
        <is>
          <t>рублей</t>
        </is>
      </c>
      <c r="D68" t="inlineStr">
        <is>
          <t>шестьдесят шесть</t>
        </is>
      </c>
      <c r="E68" t="inlineStr">
        <is>
          <t>тысяч</t>
        </is>
      </c>
      <c r="F68" t="inlineStr">
        <is>
          <t>копеек</t>
        </is>
      </c>
    </row>
    <row r="69">
      <c r="A69" t="n">
        <v>67</v>
      </c>
      <c r="B69" t="inlineStr">
        <is>
          <t>шестьдесят семь</t>
        </is>
      </c>
      <c r="C69" t="inlineStr">
        <is>
          <t>рублей</t>
        </is>
      </c>
      <c r="D69" t="inlineStr">
        <is>
          <t>шестьдесят семь</t>
        </is>
      </c>
      <c r="E69" t="inlineStr">
        <is>
          <t>тысяч</t>
        </is>
      </c>
      <c r="F69" t="inlineStr">
        <is>
          <t>копеек</t>
        </is>
      </c>
    </row>
    <row r="70">
      <c r="A70" t="n">
        <v>68</v>
      </c>
      <c r="B70" t="inlineStr">
        <is>
          <t>шестьдесят восемь</t>
        </is>
      </c>
      <c r="C70" t="inlineStr">
        <is>
          <t>рублей</t>
        </is>
      </c>
      <c r="D70" t="inlineStr">
        <is>
          <t>шестьдесят восемь</t>
        </is>
      </c>
      <c r="E70" t="inlineStr">
        <is>
          <t>тысяч</t>
        </is>
      </c>
      <c r="F70" t="inlineStr">
        <is>
          <t>копеек</t>
        </is>
      </c>
    </row>
    <row r="71">
      <c r="A71" t="n">
        <v>69</v>
      </c>
      <c r="B71" t="inlineStr">
        <is>
          <t>шестьдесят девять</t>
        </is>
      </c>
      <c r="C71" t="inlineStr">
        <is>
          <t>рублей</t>
        </is>
      </c>
      <c r="D71" t="inlineStr">
        <is>
          <t>шестьдесят девять</t>
        </is>
      </c>
      <c r="E71" t="inlineStr">
        <is>
          <t>тысяч</t>
        </is>
      </c>
      <c r="F71" t="inlineStr">
        <is>
          <t>копеек</t>
        </is>
      </c>
    </row>
    <row r="72">
      <c r="A72" t="n">
        <v>70</v>
      </c>
      <c r="B72" t="inlineStr">
        <is>
          <t>семьдесят</t>
        </is>
      </c>
      <c r="C72" t="inlineStr">
        <is>
          <t>рублей</t>
        </is>
      </c>
      <c r="D72" t="inlineStr">
        <is>
          <t>семьдесят</t>
        </is>
      </c>
      <c r="E72" t="inlineStr">
        <is>
          <t>тысяч</t>
        </is>
      </c>
      <c r="F72" t="inlineStr">
        <is>
          <t>копеек</t>
        </is>
      </c>
    </row>
    <row r="73">
      <c r="A73" t="n">
        <v>71</v>
      </c>
      <c r="B73" t="inlineStr">
        <is>
          <t>семьдесят один</t>
        </is>
      </c>
      <c r="C73" t="inlineStr">
        <is>
          <t>рубль</t>
        </is>
      </c>
      <c r="D73" t="inlineStr">
        <is>
          <t>семьдесят одна</t>
        </is>
      </c>
      <c r="E73" t="inlineStr">
        <is>
          <t>тысяча</t>
        </is>
      </c>
      <c r="F73" t="inlineStr">
        <is>
          <t>копейка</t>
        </is>
      </c>
    </row>
    <row r="74">
      <c r="A74" t="n">
        <v>72</v>
      </c>
      <c r="B74" t="inlineStr">
        <is>
          <t>семьдесят два</t>
        </is>
      </c>
      <c r="C74" t="inlineStr">
        <is>
          <t>рубля</t>
        </is>
      </c>
      <c r="D74" t="inlineStr">
        <is>
          <t>семьдесят две</t>
        </is>
      </c>
      <c r="E74" t="inlineStr">
        <is>
          <t>тысячи</t>
        </is>
      </c>
      <c r="F74" t="inlineStr">
        <is>
          <t>копейки</t>
        </is>
      </c>
    </row>
    <row r="75">
      <c r="A75" t="n">
        <v>73</v>
      </c>
      <c r="B75" t="inlineStr">
        <is>
          <t>семьдесят три</t>
        </is>
      </c>
      <c r="C75" t="inlineStr">
        <is>
          <t>рубля</t>
        </is>
      </c>
      <c r="D75" t="inlineStr">
        <is>
          <t>семьдесят три</t>
        </is>
      </c>
      <c r="E75" t="inlineStr">
        <is>
          <t>тысячи</t>
        </is>
      </c>
      <c r="F75" t="inlineStr">
        <is>
          <t>копейки</t>
        </is>
      </c>
    </row>
    <row r="76">
      <c r="A76" t="n">
        <v>74</v>
      </c>
      <c r="B76" t="inlineStr">
        <is>
          <t>семьдесят четыре</t>
        </is>
      </c>
      <c r="C76" t="inlineStr">
        <is>
          <t>рубля</t>
        </is>
      </c>
      <c r="D76" t="inlineStr">
        <is>
          <t>семьдесят четыре</t>
        </is>
      </c>
      <c r="E76" t="inlineStr">
        <is>
          <t>тысячи</t>
        </is>
      </c>
      <c r="F76" t="inlineStr">
        <is>
          <t>копейки</t>
        </is>
      </c>
    </row>
    <row r="77">
      <c r="A77" t="n">
        <v>75</v>
      </c>
      <c r="B77" t="inlineStr">
        <is>
          <t>семьдесят пять</t>
        </is>
      </c>
      <c r="C77" t="inlineStr">
        <is>
          <t>рублей</t>
        </is>
      </c>
      <c r="D77" t="inlineStr">
        <is>
          <t>семьдесят пять</t>
        </is>
      </c>
      <c r="E77" t="inlineStr">
        <is>
          <t>тысяч</t>
        </is>
      </c>
      <c r="F77" t="inlineStr">
        <is>
          <t>копеек</t>
        </is>
      </c>
    </row>
    <row r="78">
      <c r="A78" t="n">
        <v>76</v>
      </c>
      <c r="B78" t="inlineStr">
        <is>
          <t>семьдесят шесть</t>
        </is>
      </c>
      <c r="C78" t="inlineStr">
        <is>
          <t>рублей</t>
        </is>
      </c>
      <c r="D78" t="inlineStr">
        <is>
          <t>семьдесят шесть</t>
        </is>
      </c>
      <c r="E78" t="inlineStr">
        <is>
          <t>тысяч</t>
        </is>
      </c>
      <c r="F78" t="inlineStr">
        <is>
          <t>копеек</t>
        </is>
      </c>
    </row>
    <row r="79">
      <c r="A79" t="n">
        <v>77</v>
      </c>
      <c r="B79" t="inlineStr">
        <is>
          <t>семьдесят семь</t>
        </is>
      </c>
      <c r="C79" t="inlineStr">
        <is>
          <t>рублей</t>
        </is>
      </c>
      <c r="D79" t="inlineStr">
        <is>
          <t>семьдесят семь</t>
        </is>
      </c>
      <c r="E79" t="inlineStr">
        <is>
          <t>тысяч</t>
        </is>
      </c>
      <c r="F79" t="inlineStr">
        <is>
          <t>копеек</t>
        </is>
      </c>
    </row>
    <row r="80">
      <c r="A80" t="n">
        <v>78</v>
      </c>
      <c r="B80" t="inlineStr">
        <is>
          <t>семьдесят восемь</t>
        </is>
      </c>
      <c r="C80" t="inlineStr">
        <is>
          <t>рублей</t>
        </is>
      </c>
      <c r="D80" t="inlineStr">
        <is>
          <t>семьдесят восемь</t>
        </is>
      </c>
      <c r="E80" t="inlineStr">
        <is>
          <t>тысяч</t>
        </is>
      </c>
      <c r="F80" t="inlineStr">
        <is>
          <t>копеек</t>
        </is>
      </c>
    </row>
    <row r="81">
      <c r="A81" t="n">
        <v>79</v>
      </c>
      <c r="B81" t="inlineStr">
        <is>
          <t>семьдесят девять</t>
        </is>
      </c>
      <c r="C81" t="inlineStr">
        <is>
          <t>рублей</t>
        </is>
      </c>
      <c r="D81" t="inlineStr">
        <is>
          <t>семьдесят девять</t>
        </is>
      </c>
      <c r="E81" t="inlineStr">
        <is>
          <t>тысяч</t>
        </is>
      </c>
      <c r="F81" t="inlineStr">
        <is>
          <t>копеек</t>
        </is>
      </c>
    </row>
    <row r="82">
      <c r="A82" t="n">
        <v>80</v>
      </c>
      <c r="B82" t="inlineStr">
        <is>
          <t>восемьдесят</t>
        </is>
      </c>
      <c r="C82" t="inlineStr">
        <is>
          <t>рублей</t>
        </is>
      </c>
      <c r="D82" t="inlineStr">
        <is>
          <t>восемьдесят</t>
        </is>
      </c>
      <c r="E82" t="inlineStr">
        <is>
          <t>тысяч</t>
        </is>
      </c>
      <c r="F82" t="inlineStr">
        <is>
          <t>копеек</t>
        </is>
      </c>
    </row>
    <row r="83">
      <c r="A83" t="n">
        <v>81</v>
      </c>
      <c r="B83" t="inlineStr">
        <is>
          <t>восемьдесят один</t>
        </is>
      </c>
      <c r="C83" t="inlineStr">
        <is>
          <t>рубль</t>
        </is>
      </c>
      <c r="D83" t="inlineStr">
        <is>
          <t>восемьдесят одна</t>
        </is>
      </c>
      <c r="E83" t="inlineStr">
        <is>
          <t>тысяча</t>
        </is>
      </c>
      <c r="F83" t="inlineStr">
        <is>
          <t>копейка</t>
        </is>
      </c>
    </row>
    <row r="84">
      <c r="A84" t="n">
        <v>82</v>
      </c>
      <c r="B84" t="inlineStr">
        <is>
          <t>восемьдесят два</t>
        </is>
      </c>
      <c r="C84" t="inlineStr">
        <is>
          <t>рубля</t>
        </is>
      </c>
      <c r="D84" t="inlineStr">
        <is>
          <t>восемьдесят две</t>
        </is>
      </c>
      <c r="E84" t="inlineStr">
        <is>
          <t>тысячи</t>
        </is>
      </c>
      <c r="F84" t="inlineStr">
        <is>
          <t>копейки</t>
        </is>
      </c>
    </row>
    <row r="85">
      <c r="A85" t="n">
        <v>83</v>
      </c>
      <c r="B85" t="inlineStr">
        <is>
          <t>восемьдесят три</t>
        </is>
      </c>
      <c r="C85" t="inlineStr">
        <is>
          <t>рубля</t>
        </is>
      </c>
      <c r="D85" t="inlineStr">
        <is>
          <t>восемьдесят три</t>
        </is>
      </c>
      <c r="E85" t="inlineStr">
        <is>
          <t>тысячи</t>
        </is>
      </c>
      <c r="F85" t="inlineStr">
        <is>
          <t>копейки</t>
        </is>
      </c>
    </row>
    <row r="86">
      <c r="A86" t="n">
        <v>84</v>
      </c>
      <c r="B86" t="inlineStr">
        <is>
          <t>восемьдесят четыре</t>
        </is>
      </c>
      <c r="C86" t="inlineStr">
        <is>
          <t>рубля</t>
        </is>
      </c>
      <c r="D86" t="inlineStr">
        <is>
          <t>восемьдесят четыре</t>
        </is>
      </c>
      <c r="E86" t="inlineStr">
        <is>
          <t>тысячи</t>
        </is>
      </c>
      <c r="F86" t="inlineStr">
        <is>
          <t>копейки</t>
        </is>
      </c>
    </row>
    <row r="87">
      <c r="A87" t="n">
        <v>85</v>
      </c>
      <c r="B87" t="inlineStr">
        <is>
          <t>восемьдесят пять</t>
        </is>
      </c>
      <c r="C87" t="inlineStr">
        <is>
          <t>рублей</t>
        </is>
      </c>
      <c r="D87" t="inlineStr">
        <is>
          <t>восемьдесят пять</t>
        </is>
      </c>
      <c r="E87" t="inlineStr">
        <is>
          <t>тысяч</t>
        </is>
      </c>
      <c r="F87" t="inlineStr">
        <is>
          <t>копеек</t>
        </is>
      </c>
    </row>
    <row r="88">
      <c r="A88" t="n">
        <v>86</v>
      </c>
      <c r="B88" t="inlineStr">
        <is>
          <t>восемьдесят шесть</t>
        </is>
      </c>
      <c r="C88" t="inlineStr">
        <is>
          <t>рублей</t>
        </is>
      </c>
      <c r="D88" t="inlineStr">
        <is>
          <t>восемьдесят шесть</t>
        </is>
      </c>
      <c r="E88" t="inlineStr">
        <is>
          <t>тысяч</t>
        </is>
      </c>
      <c r="F88" t="inlineStr">
        <is>
          <t>копеек</t>
        </is>
      </c>
    </row>
    <row r="89">
      <c r="A89" t="n">
        <v>87</v>
      </c>
      <c r="B89" t="inlineStr">
        <is>
          <t>восемьдесят семь</t>
        </is>
      </c>
      <c r="C89" t="inlineStr">
        <is>
          <t>рублей</t>
        </is>
      </c>
      <c r="D89" t="inlineStr">
        <is>
          <t>восемьдесят семь</t>
        </is>
      </c>
      <c r="E89" t="inlineStr">
        <is>
          <t>тысяч</t>
        </is>
      </c>
      <c r="F89" t="inlineStr">
        <is>
          <t>копеек</t>
        </is>
      </c>
    </row>
    <row r="90">
      <c r="A90" t="n">
        <v>88</v>
      </c>
      <c r="B90" t="inlineStr">
        <is>
          <t>восемьдесят восемь</t>
        </is>
      </c>
      <c r="C90" t="inlineStr">
        <is>
          <t>рублей</t>
        </is>
      </c>
      <c r="D90" t="inlineStr">
        <is>
          <t>восемьдесят восемь</t>
        </is>
      </c>
      <c r="E90" t="inlineStr">
        <is>
          <t>тысяч</t>
        </is>
      </c>
      <c r="F90" t="inlineStr">
        <is>
          <t>копеек</t>
        </is>
      </c>
    </row>
    <row r="91">
      <c r="A91" t="n">
        <v>89</v>
      </c>
      <c r="B91" t="inlineStr">
        <is>
          <t>восемьдесят девять</t>
        </is>
      </c>
      <c r="C91" t="inlineStr">
        <is>
          <t>рублей</t>
        </is>
      </c>
      <c r="D91" t="inlineStr">
        <is>
          <t>восемьдесят девять</t>
        </is>
      </c>
      <c r="E91" t="inlineStr">
        <is>
          <t>тысяч</t>
        </is>
      </c>
      <c r="F91" t="inlineStr">
        <is>
          <t>копеек</t>
        </is>
      </c>
    </row>
    <row r="92">
      <c r="A92" t="n">
        <v>90</v>
      </c>
      <c r="B92" t="inlineStr">
        <is>
          <t>девяносто</t>
        </is>
      </c>
      <c r="C92" t="inlineStr">
        <is>
          <t>рублей</t>
        </is>
      </c>
      <c r="D92" t="inlineStr">
        <is>
          <t>девяносто</t>
        </is>
      </c>
      <c r="E92" t="inlineStr">
        <is>
          <t>тысяч</t>
        </is>
      </c>
      <c r="F92" t="inlineStr">
        <is>
          <t>копеек</t>
        </is>
      </c>
    </row>
    <row r="93">
      <c r="A93" t="n">
        <v>91</v>
      </c>
      <c r="B93" t="inlineStr">
        <is>
          <t>девяносто один</t>
        </is>
      </c>
      <c r="C93" t="inlineStr">
        <is>
          <t>рубль</t>
        </is>
      </c>
      <c r="D93" t="inlineStr">
        <is>
          <t>девяносто одна</t>
        </is>
      </c>
      <c r="E93" t="inlineStr">
        <is>
          <t>тысяча</t>
        </is>
      </c>
      <c r="F93" t="inlineStr">
        <is>
          <t>копейка</t>
        </is>
      </c>
    </row>
    <row r="94">
      <c r="A94" t="n">
        <v>92</v>
      </c>
      <c r="B94" t="inlineStr">
        <is>
          <t>девяносто два</t>
        </is>
      </c>
      <c r="C94" t="inlineStr">
        <is>
          <t>рубля</t>
        </is>
      </c>
      <c r="D94" t="inlineStr">
        <is>
          <t>девяносто две</t>
        </is>
      </c>
      <c r="E94" t="inlineStr">
        <is>
          <t>тысячи</t>
        </is>
      </c>
      <c r="F94" t="inlineStr">
        <is>
          <t>копейки</t>
        </is>
      </c>
    </row>
    <row r="95">
      <c r="A95" t="n">
        <v>93</v>
      </c>
      <c r="B95" t="inlineStr">
        <is>
          <t>девяносто три</t>
        </is>
      </c>
      <c r="C95" t="inlineStr">
        <is>
          <t>рубля</t>
        </is>
      </c>
      <c r="D95" t="inlineStr">
        <is>
          <t>девяносто три</t>
        </is>
      </c>
      <c r="E95" t="inlineStr">
        <is>
          <t>тысячи</t>
        </is>
      </c>
      <c r="F95" t="inlineStr">
        <is>
          <t>копейки</t>
        </is>
      </c>
    </row>
    <row r="96">
      <c r="A96" t="n">
        <v>94</v>
      </c>
      <c r="B96" t="inlineStr">
        <is>
          <t>девяносто четыре</t>
        </is>
      </c>
      <c r="C96" t="inlineStr">
        <is>
          <t>рубля</t>
        </is>
      </c>
      <c r="D96" t="inlineStr">
        <is>
          <t>девяносто четыре</t>
        </is>
      </c>
      <c r="E96" t="inlineStr">
        <is>
          <t>тысячи</t>
        </is>
      </c>
      <c r="F96" t="inlineStr">
        <is>
          <t>копейки</t>
        </is>
      </c>
    </row>
    <row r="97">
      <c r="A97" t="n">
        <v>95</v>
      </c>
      <c r="B97" t="inlineStr">
        <is>
          <t>девяносто пять</t>
        </is>
      </c>
      <c r="C97" t="inlineStr">
        <is>
          <t>рублей</t>
        </is>
      </c>
      <c r="D97" t="inlineStr">
        <is>
          <t>девяносто пять</t>
        </is>
      </c>
      <c r="E97" t="inlineStr">
        <is>
          <t>тысяч</t>
        </is>
      </c>
      <c r="F97" t="inlineStr">
        <is>
          <t>копеек</t>
        </is>
      </c>
    </row>
    <row r="98">
      <c r="A98" t="n">
        <v>96</v>
      </c>
      <c r="B98" t="inlineStr">
        <is>
          <t>девяносто шесть</t>
        </is>
      </c>
      <c r="C98" t="inlineStr">
        <is>
          <t>рублей</t>
        </is>
      </c>
      <c r="D98" t="inlineStr">
        <is>
          <t>девяносто шесть</t>
        </is>
      </c>
      <c r="E98" t="inlineStr">
        <is>
          <t>тысяч</t>
        </is>
      </c>
      <c r="F98" t="inlineStr">
        <is>
          <t>копеек</t>
        </is>
      </c>
    </row>
    <row r="99">
      <c r="A99" t="n">
        <v>97</v>
      </c>
      <c r="B99" t="inlineStr">
        <is>
          <t>девяносто семь</t>
        </is>
      </c>
      <c r="C99" t="inlineStr">
        <is>
          <t>рублей</t>
        </is>
      </c>
      <c r="D99" t="inlineStr">
        <is>
          <t>девяносто семь</t>
        </is>
      </c>
      <c r="E99" t="inlineStr">
        <is>
          <t>тысяч</t>
        </is>
      </c>
      <c r="F99" t="inlineStr">
        <is>
          <t>копеек</t>
        </is>
      </c>
    </row>
    <row r="100">
      <c r="A100" t="n">
        <v>98</v>
      </c>
      <c r="B100" t="inlineStr">
        <is>
          <t>девяносто восемь</t>
        </is>
      </c>
      <c r="C100" t="inlineStr">
        <is>
          <t>рублей</t>
        </is>
      </c>
      <c r="D100" t="inlineStr">
        <is>
          <t>девяносто восемь</t>
        </is>
      </c>
      <c r="E100" t="inlineStr">
        <is>
          <t>тысяч</t>
        </is>
      </c>
      <c r="F100" t="inlineStr">
        <is>
          <t>копеек</t>
        </is>
      </c>
    </row>
    <row r="101">
      <c r="A101" t="n">
        <v>99</v>
      </c>
      <c r="B101" t="inlineStr">
        <is>
          <t>девяносто девять</t>
        </is>
      </c>
      <c r="C101" t="inlineStr">
        <is>
          <t>рублей</t>
        </is>
      </c>
      <c r="D101" t="inlineStr">
        <is>
          <t>девяносто девять</t>
        </is>
      </c>
      <c r="E101" t="inlineStr">
        <is>
          <t>тысяч</t>
        </is>
      </c>
      <c r="F101" t="inlineStr">
        <is>
          <t>копеек</t>
        </is>
      </c>
    </row>
    <row r="102">
      <c r="A102" t="n">
        <v>100</v>
      </c>
      <c r="B102" t="inlineStr">
        <is>
          <t>сто</t>
        </is>
      </c>
      <c r="C102" t="inlineStr">
        <is>
          <t>рублей</t>
        </is>
      </c>
      <c r="D102" t="inlineStr">
        <is>
          <t>сто</t>
        </is>
      </c>
      <c r="E102" t="inlineStr">
        <is>
          <t>тысяч</t>
        </is>
      </c>
      <c r="F102" t="inlineStr">
        <is>
          <t>копеек</t>
        </is>
      </c>
    </row>
    <row r="103">
      <c r="A103" t="n">
        <v>101</v>
      </c>
      <c r="B103" t="inlineStr">
        <is>
          <t>сто один</t>
        </is>
      </c>
      <c r="C103" t="inlineStr">
        <is>
          <t>рубль</t>
        </is>
      </c>
      <c r="D103" t="inlineStr">
        <is>
          <t>сто одна</t>
        </is>
      </c>
      <c r="E103" t="inlineStr">
        <is>
          <t>тысяча</t>
        </is>
      </c>
      <c r="F103" t="inlineStr">
        <is>
          <t>копейка</t>
        </is>
      </c>
    </row>
    <row r="104">
      <c r="A104" t="n">
        <v>102</v>
      </c>
      <c r="B104" t="inlineStr">
        <is>
          <t>сто два</t>
        </is>
      </c>
      <c r="C104" t="inlineStr">
        <is>
          <t>рубля</t>
        </is>
      </c>
      <c r="D104" t="inlineStr">
        <is>
          <t>сто две</t>
        </is>
      </c>
      <c r="E104" t="inlineStr">
        <is>
          <t>тысячи</t>
        </is>
      </c>
      <c r="F104" t="inlineStr">
        <is>
          <t>копейки</t>
        </is>
      </c>
    </row>
    <row r="105">
      <c r="A105" t="n">
        <v>103</v>
      </c>
      <c r="B105" t="inlineStr">
        <is>
          <t>сто три</t>
        </is>
      </c>
      <c r="C105" t="inlineStr">
        <is>
          <t>рубля</t>
        </is>
      </c>
      <c r="D105" t="inlineStr">
        <is>
          <t>сто три</t>
        </is>
      </c>
      <c r="E105" t="inlineStr">
        <is>
          <t>тысячи</t>
        </is>
      </c>
      <c r="F105" t="inlineStr">
        <is>
          <t>копейки</t>
        </is>
      </c>
    </row>
    <row r="106">
      <c r="A106" t="n">
        <v>104</v>
      </c>
      <c r="B106" t="inlineStr">
        <is>
          <t>сто четыре</t>
        </is>
      </c>
      <c r="C106" t="inlineStr">
        <is>
          <t>рубля</t>
        </is>
      </c>
      <c r="D106" t="inlineStr">
        <is>
          <t>сто четыре</t>
        </is>
      </c>
      <c r="E106" t="inlineStr">
        <is>
          <t>тысячи</t>
        </is>
      </c>
      <c r="F106" t="inlineStr">
        <is>
          <t>копейки</t>
        </is>
      </c>
    </row>
    <row r="107">
      <c r="A107" t="n">
        <v>105</v>
      </c>
      <c r="B107" t="inlineStr">
        <is>
          <t>сто пять</t>
        </is>
      </c>
      <c r="C107" t="inlineStr">
        <is>
          <t>рублей</t>
        </is>
      </c>
      <c r="D107" t="inlineStr">
        <is>
          <t>сто пять</t>
        </is>
      </c>
      <c r="E107" t="inlineStr">
        <is>
          <t>тысяч</t>
        </is>
      </c>
      <c r="F107" t="inlineStr">
        <is>
          <t>копеек</t>
        </is>
      </c>
    </row>
    <row r="108">
      <c r="A108" t="n">
        <v>106</v>
      </c>
      <c r="B108" t="inlineStr">
        <is>
          <t>сто шесть</t>
        </is>
      </c>
      <c r="C108" t="inlineStr">
        <is>
          <t>рублей</t>
        </is>
      </c>
      <c r="D108" t="inlineStr">
        <is>
          <t>сто шесть</t>
        </is>
      </c>
      <c r="E108" t="inlineStr">
        <is>
          <t>тысяч</t>
        </is>
      </c>
      <c r="F108" t="inlineStr">
        <is>
          <t>копеек</t>
        </is>
      </c>
    </row>
    <row r="109">
      <c r="A109" t="n">
        <v>107</v>
      </c>
      <c r="B109" t="inlineStr">
        <is>
          <t>сто семь</t>
        </is>
      </c>
      <c r="C109" t="inlineStr">
        <is>
          <t>рублей</t>
        </is>
      </c>
      <c r="D109" t="inlineStr">
        <is>
          <t>сто семь</t>
        </is>
      </c>
      <c r="E109" t="inlineStr">
        <is>
          <t>тысяч</t>
        </is>
      </c>
      <c r="F109" t="inlineStr">
        <is>
          <t>копеек</t>
        </is>
      </c>
    </row>
    <row r="110">
      <c r="A110" t="n">
        <v>108</v>
      </c>
      <c r="B110" t="inlineStr">
        <is>
          <t>сто восемь</t>
        </is>
      </c>
      <c r="C110" t="inlineStr">
        <is>
          <t>рублей</t>
        </is>
      </c>
      <c r="D110" t="inlineStr">
        <is>
          <t>сто восемь</t>
        </is>
      </c>
      <c r="E110" t="inlineStr">
        <is>
          <t>тысяч</t>
        </is>
      </c>
      <c r="F110" t="inlineStr">
        <is>
          <t>копеек</t>
        </is>
      </c>
    </row>
    <row r="111">
      <c r="A111" t="n">
        <v>109</v>
      </c>
      <c r="B111" t="inlineStr">
        <is>
          <t>сто девять</t>
        </is>
      </c>
      <c r="C111" t="inlineStr">
        <is>
          <t>рублей</t>
        </is>
      </c>
      <c r="D111" t="inlineStr">
        <is>
          <t>сто девять</t>
        </is>
      </c>
      <c r="E111" t="inlineStr">
        <is>
          <t>тысяч</t>
        </is>
      </c>
      <c r="F111" t="inlineStr">
        <is>
          <t>копеек</t>
        </is>
      </c>
    </row>
    <row r="112">
      <c r="A112" t="n">
        <v>110</v>
      </c>
      <c r="B112" t="inlineStr">
        <is>
          <t>сто десять</t>
        </is>
      </c>
      <c r="C112" t="inlineStr">
        <is>
          <t>рублей</t>
        </is>
      </c>
      <c r="D112" t="inlineStr">
        <is>
          <t>сто десять</t>
        </is>
      </c>
      <c r="E112" t="inlineStr">
        <is>
          <t>тысяч</t>
        </is>
      </c>
      <c r="F112" t="inlineStr">
        <is>
          <t>копеек</t>
        </is>
      </c>
    </row>
    <row r="113">
      <c r="A113" t="n">
        <v>111</v>
      </c>
      <c r="B113" t="inlineStr">
        <is>
          <t>сто одиннадцать</t>
        </is>
      </c>
      <c r="C113" t="inlineStr">
        <is>
          <t>рублей</t>
        </is>
      </c>
      <c r="D113" t="inlineStr">
        <is>
          <t>сто одиннадцать</t>
        </is>
      </c>
      <c r="E113" t="inlineStr">
        <is>
          <t>тысяч</t>
        </is>
      </c>
      <c r="F113" t="inlineStr">
        <is>
          <t>копеек</t>
        </is>
      </c>
    </row>
    <row r="114">
      <c r="A114" t="n">
        <v>112</v>
      </c>
      <c r="B114" t="inlineStr">
        <is>
          <t>сто двенадцать</t>
        </is>
      </c>
      <c r="C114" t="inlineStr">
        <is>
          <t>рублей</t>
        </is>
      </c>
      <c r="D114" t="inlineStr">
        <is>
          <t>сто двенадцать</t>
        </is>
      </c>
      <c r="E114" t="inlineStr">
        <is>
          <t>тысяч</t>
        </is>
      </c>
      <c r="F114" t="inlineStr">
        <is>
          <t>копеек</t>
        </is>
      </c>
    </row>
    <row r="115">
      <c r="A115" t="n">
        <v>113</v>
      </c>
      <c r="B115" t="inlineStr">
        <is>
          <t>сто тринадцать</t>
        </is>
      </c>
      <c r="C115" t="inlineStr">
        <is>
          <t>рублей</t>
        </is>
      </c>
      <c r="D115" t="inlineStr">
        <is>
          <t>сто тринадцать</t>
        </is>
      </c>
      <c r="E115" t="inlineStr">
        <is>
          <t>тысяч</t>
        </is>
      </c>
      <c r="F115" t="inlineStr">
        <is>
          <t>копеек</t>
        </is>
      </c>
    </row>
    <row r="116">
      <c r="A116" t="n">
        <v>114</v>
      </c>
      <c r="B116" t="inlineStr">
        <is>
          <t>сто четырнадцать</t>
        </is>
      </c>
      <c r="C116" t="inlineStr">
        <is>
          <t>рублей</t>
        </is>
      </c>
      <c r="D116" t="inlineStr">
        <is>
          <t>сто четырнадцать</t>
        </is>
      </c>
      <c r="E116" t="inlineStr">
        <is>
          <t>тысяч</t>
        </is>
      </c>
      <c r="F116" t="inlineStr">
        <is>
          <t>копеек</t>
        </is>
      </c>
    </row>
    <row r="117">
      <c r="A117" t="n">
        <v>115</v>
      </c>
      <c r="B117" t="inlineStr">
        <is>
          <t>сто пятнадцать</t>
        </is>
      </c>
      <c r="C117" t="inlineStr">
        <is>
          <t>рублей</t>
        </is>
      </c>
      <c r="D117" t="inlineStr">
        <is>
          <t>сто пятнадцать</t>
        </is>
      </c>
      <c r="E117" t="inlineStr">
        <is>
          <t>тысяч</t>
        </is>
      </c>
      <c r="F117" t="inlineStr">
        <is>
          <t>копеек</t>
        </is>
      </c>
    </row>
    <row r="118">
      <c r="A118" t="n">
        <v>116</v>
      </c>
      <c r="B118" t="inlineStr">
        <is>
          <t>сто шестнадцать</t>
        </is>
      </c>
      <c r="C118" t="inlineStr">
        <is>
          <t>рублей</t>
        </is>
      </c>
      <c r="D118" t="inlineStr">
        <is>
          <t>сто шестнадцать</t>
        </is>
      </c>
      <c r="E118" t="inlineStr">
        <is>
          <t>тысяч</t>
        </is>
      </c>
      <c r="F118" t="inlineStr">
        <is>
          <t>копеек</t>
        </is>
      </c>
    </row>
    <row r="119">
      <c r="A119" t="n">
        <v>117</v>
      </c>
      <c r="B119" t="inlineStr">
        <is>
          <t>сто семнадцать</t>
        </is>
      </c>
      <c r="C119" t="inlineStr">
        <is>
          <t>рублей</t>
        </is>
      </c>
      <c r="D119" t="inlineStr">
        <is>
          <t>сто семнадцать</t>
        </is>
      </c>
      <c r="E119" t="inlineStr">
        <is>
          <t>тысяч</t>
        </is>
      </c>
      <c r="F119" t="inlineStr">
        <is>
          <t>копеек</t>
        </is>
      </c>
    </row>
    <row r="120">
      <c r="A120" t="n">
        <v>118</v>
      </c>
      <c r="B120" t="inlineStr">
        <is>
          <t>сто восемнадцать</t>
        </is>
      </c>
      <c r="C120" t="inlineStr">
        <is>
          <t>рублей</t>
        </is>
      </c>
      <c r="D120" t="inlineStr">
        <is>
          <t>сто восемнадцать</t>
        </is>
      </c>
      <c r="E120" t="inlineStr">
        <is>
          <t>тысяч</t>
        </is>
      </c>
      <c r="F120" t="inlineStr">
        <is>
          <t>копеек</t>
        </is>
      </c>
    </row>
    <row r="121">
      <c r="A121" t="n">
        <v>119</v>
      </c>
      <c r="B121" t="inlineStr">
        <is>
          <t>сто девятнадцать</t>
        </is>
      </c>
      <c r="C121" t="inlineStr">
        <is>
          <t>рублей</t>
        </is>
      </c>
      <c r="D121" t="inlineStr">
        <is>
          <t>сто девятнадцать</t>
        </is>
      </c>
      <c r="E121" t="inlineStr">
        <is>
          <t>тысяч</t>
        </is>
      </c>
      <c r="F121" t="inlineStr">
        <is>
          <t>копеек</t>
        </is>
      </c>
    </row>
    <row r="122">
      <c r="A122" t="n">
        <v>120</v>
      </c>
      <c r="B122" t="inlineStr">
        <is>
          <t>сто двадцать</t>
        </is>
      </c>
      <c r="C122" t="inlineStr">
        <is>
          <t>рублей</t>
        </is>
      </c>
      <c r="D122" t="inlineStr">
        <is>
          <t>сто двадцать</t>
        </is>
      </c>
      <c r="E122" t="inlineStr">
        <is>
          <t>тысяч</t>
        </is>
      </c>
      <c r="F122" t="inlineStr">
        <is>
          <t>копеек</t>
        </is>
      </c>
    </row>
    <row r="123">
      <c r="A123" t="n">
        <v>121</v>
      </c>
      <c r="B123" t="inlineStr">
        <is>
          <t>сто двадцать один</t>
        </is>
      </c>
      <c r="C123" t="inlineStr">
        <is>
          <t>рубль</t>
        </is>
      </c>
      <c r="D123" t="inlineStr">
        <is>
          <t>сто двадцать одна</t>
        </is>
      </c>
      <c r="E123" t="inlineStr">
        <is>
          <t>тысяча</t>
        </is>
      </c>
      <c r="F123" t="inlineStr">
        <is>
          <t>копейка</t>
        </is>
      </c>
    </row>
    <row r="124">
      <c r="A124" t="n">
        <v>122</v>
      </c>
      <c r="B124" t="inlineStr">
        <is>
          <t>сто двадцать два</t>
        </is>
      </c>
      <c r="C124" t="inlineStr">
        <is>
          <t>рубля</t>
        </is>
      </c>
      <c r="D124" t="inlineStr">
        <is>
          <t>сто двадцать две</t>
        </is>
      </c>
      <c r="E124" t="inlineStr">
        <is>
          <t>тысячи</t>
        </is>
      </c>
      <c r="F124" t="inlineStr">
        <is>
          <t>копейки</t>
        </is>
      </c>
    </row>
    <row r="125">
      <c r="A125" t="n">
        <v>123</v>
      </c>
      <c r="B125" t="inlineStr">
        <is>
          <t>сто двадцать три</t>
        </is>
      </c>
      <c r="C125" t="inlineStr">
        <is>
          <t>рубля</t>
        </is>
      </c>
      <c r="D125" t="inlineStr">
        <is>
          <t>сто двадцать три</t>
        </is>
      </c>
      <c r="E125" t="inlineStr">
        <is>
          <t>тысячи</t>
        </is>
      </c>
      <c r="F125" t="inlineStr">
        <is>
          <t>копейки</t>
        </is>
      </c>
    </row>
    <row r="126">
      <c r="A126" t="n">
        <v>124</v>
      </c>
      <c r="B126" t="inlineStr">
        <is>
          <t>сто двадцать четыре</t>
        </is>
      </c>
      <c r="C126" t="inlineStr">
        <is>
          <t>рубля</t>
        </is>
      </c>
      <c r="D126" t="inlineStr">
        <is>
          <t>сто двадцать четыре</t>
        </is>
      </c>
      <c r="E126" t="inlineStr">
        <is>
          <t>тысячи</t>
        </is>
      </c>
      <c r="F126" t="inlineStr">
        <is>
          <t>копейки</t>
        </is>
      </c>
    </row>
    <row r="127">
      <c r="A127" t="n">
        <v>125</v>
      </c>
      <c r="B127" t="inlineStr">
        <is>
          <t>сто двадцать пять</t>
        </is>
      </c>
      <c r="C127" t="inlineStr">
        <is>
          <t>рублей</t>
        </is>
      </c>
      <c r="D127" t="inlineStr">
        <is>
          <t>сто двадцать пять</t>
        </is>
      </c>
      <c r="E127" t="inlineStr">
        <is>
          <t>тысяч</t>
        </is>
      </c>
      <c r="F127" t="inlineStr">
        <is>
          <t>копеек</t>
        </is>
      </c>
    </row>
    <row r="128">
      <c r="A128" t="n">
        <v>126</v>
      </c>
      <c r="B128" t="inlineStr">
        <is>
          <t>сто двадцать шесть</t>
        </is>
      </c>
      <c r="C128" t="inlineStr">
        <is>
          <t>рублей</t>
        </is>
      </c>
      <c r="D128" t="inlineStr">
        <is>
          <t>сто двадцать шесть</t>
        </is>
      </c>
      <c r="E128" t="inlineStr">
        <is>
          <t>тысяч</t>
        </is>
      </c>
      <c r="F128" t="inlineStr">
        <is>
          <t>копеек</t>
        </is>
      </c>
    </row>
    <row r="129">
      <c r="A129" t="n">
        <v>127</v>
      </c>
      <c r="B129" t="inlineStr">
        <is>
          <t>сто двадцать семь</t>
        </is>
      </c>
      <c r="C129" t="inlineStr">
        <is>
          <t>рублей</t>
        </is>
      </c>
      <c r="D129" t="inlineStr">
        <is>
          <t>сто двадцать семь</t>
        </is>
      </c>
      <c r="E129" t="inlineStr">
        <is>
          <t>тысяч</t>
        </is>
      </c>
      <c r="F129" t="inlineStr">
        <is>
          <t>копеек</t>
        </is>
      </c>
    </row>
    <row r="130">
      <c r="A130" t="n">
        <v>128</v>
      </c>
      <c r="B130" t="inlineStr">
        <is>
          <t>сто двадцать восемь</t>
        </is>
      </c>
      <c r="C130" t="inlineStr">
        <is>
          <t>рублей</t>
        </is>
      </c>
      <c r="D130" t="inlineStr">
        <is>
          <t>сто двадцать восемь</t>
        </is>
      </c>
      <c r="E130" t="inlineStr">
        <is>
          <t>тысяч</t>
        </is>
      </c>
      <c r="F130" t="inlineStr">
        <is>
          <t>копеек</t>
        </is>
      </c>
    </row>
    <row r="131">
      <c r="A131" t="n">
        <v>129</v>
      </c>
      <c r="B131" t="inlineStr">
        <is>
          <t>сто двадцать девять</t>
        </is>
      </c>
      <c r="C131" t="inlineStr">
        <is>
          <t>рублей</t>
        </is>
      </c>
      <c r="D131" t="inlineStr">
        <is>
          <t>сто двадцать девять</t>
        </is>
      </c>
      <c r="E131" t="inlineStr">
        <is>
          <t>тысяч</t>
        </is>
      </c>
      <c r="F131" t="inlineStr">
        <is>
          <t>копеек</t>
        </is>
      </c>
    </row>
    <row r="132">
      <c r="A132" t="n">
        <v>130</v>
      </c>
      <c r="B132" t="inlineStr">
        <is>
          <t>сто тридцать</t>
        </is>
      </c>
      <c r="C132" t="inlineStr">
        <is>
          <t>рублей</t>
        </is>
      </c>
      <c r="D132" t="inlineStr">
        <is>
          <t>сто тридцать</t>
        </is>
      </c>
      <c r="E132" t="inlineStr">
        <is>
          <t>тысяч</t>
        </is>
      </c>
      <c r="F132" t="inlineStr">
        <is>
          <t>копеек</t>
        </is>
      </c>
    </row>
    <row r="133">
      <c r="A133" t="n">
        <v>131</v>
      </c>
      <c r="B133" t="inlineStr">
        <is>
          <t>сто тридцать один</t>
        </is>
      </c>
      <c r="C133" t="inlineStr">
        <is>
          <t>рубль</t>
        </is>
      </c>
      <c r="D133" t="inlineStr">
        <is>
          <t>сто тридцать одна</t>
        </is>
      </c>
      <c r="E133" t="inlineStr">
        <is>
          <t>тысяча</t>
        </is>
      </c>
      <c r="F133" t="inlineStr">
        <is>
          <t>копейка</t>
        </is>
      </c>
    </row>
    <row r="134">
      <c r="A134" t="n">
        <v>132</v>
      </c>
      <c r="B134" t="inlineStr">
        <is>
          <t>сто тридцать два</t>
        </is>
      </c>
      <c r="C134" t="inlineStr">
        <is>
          <t>рубля</t>
        </is>
      </c>
      <c r="D134" t="inlineStr">
        <is>
          <t>сто тридцать две</t>
        </is>
      </c>
      <c r="E134" t="inlineStr">
        <is>
          <t>тысячи</t>
        </is>
      </c>
      <c r="F134" t="inlineStr">
        <is>
          <t>копейки</t>
        </is>
      </c>
    </row>
    <row r="135">
      <c r="A135" t="n">
        <v>133</v>
      </c>
      <c r="B135" t="inlineStr">
        <is>
          <t>сто тридцать три</t>
        </is>
      </c>
      <c r="C135" t="inlineStr">
        <is>
          <t>рубля</t>
        </is>
      </c>
      <c r="D135" t="inlineStr">
        <is>
          <t>сто тридцать три</t>
        </is>
      </c>
      <c r="E135" t="inlineStr">
        <is>
          <t>тысячи</t>
        </is>
      </c>
      <c r="F135" t="inlineStr">
        <is>
          <t>копейки</t>
        </is>
      </c>
    </row>
    <row r="136">
      <c r="A136" t="n">
        <v>134</v>
      </c>
      <c r="B136" t="inlineStr">
        <is>
          <t>сто тридцать четыре</t>
        </is>
      </c>
      <c r="C136" t="inlineStr">
        <is>
          <t>рубля</t>
        </is>
      </c>
      <c r="D136" t="inlineStr">
        <is>
          <t>сто тридцать четыре</t>
        </is>
      </c>
      <c r="E136" t="inlineStr">
        <is>
          <t>тысячи</t>
        </is>
      </c>
      <c r="F136" t="inlineStr">
        <is>
          <t>копейки</t>
        </is>
      </c>
    </row>
    <row r="137">
      <c r="A137" t="n">
        <v>135</v>
      </c>
      <c r="B137" t="inlineStr">
        <is>
          <t>сто тридцать пять</t>
        </is>
      </c>
      <c r="C137" t="inlineStr">
        <is>
          <t>рублей</t>
        </is>
      </c>
      <c r="D137" t="inlineStr">
        <is>
          <t>сто тридцать пять</t>
        </is>
      </c>
      <c r="E137" t="inlineStr">
        <is>
          <t>тысяч</t>
        </is>
      </c>
      <c r="F137" t="inlineStr">
        <is>
          <t>копеек</t>
        </is>
      </c>
    </row>
    <row r="138">
      <c r="A138" t="n">
        <v>136</v>
      </c>
      <c r="B138" t="inlineStr">
        <is>
          <t>сто тридцать шесть</t>
        </is>
      </c>
      <c r="C138" t="inlineStr">
        <is>
          <t>рублей</t>
        </is>
      </c>
      <c r="D138" t="inlineStr">
        <is>
          <t>сто тридцать шесть</t>
        </is>
      </c>
      <c r="E138" t="inlineStr">
        <is>
          <t>тысяч</t>
        </is>
      </c>
      <c r="F138" t="inlineStr">
        <is>
          <t>копеек</t>
        </is>
      </c>
    </row>
    <row r="139">
      <c r="A139" t="n">
        <v>137</v>
      </c>
      <c r="B139" t="inlineStr">
        <is>
          <t>сто тридцать семь</t>
        </is>
      </c>
      <c r="C139" t="inlineStr">
        <is>
          <t>рублей</t>
        </is>
      </c>
      <c r="D139" t="inlineStr">
        <is>
          <t>сто тридцать семь</t>
        </is>
      </c>
      <c r="E139" t="inlineStr">
        <is>
          <t>тысяч</t>
        </is>
      </c>
      <c r="F139" t="inlineStr">
        <is>
          <t>копеек</t>
        </is>
      </c>
    </row>
    <row r="140">
      <c r="A140" t="n">
        <v>138</v>
      </c>
      <c r="B140" t="inlineStr">
        <is>
          <t>сто тридцать восемь</t>
        </is>
      </c>
      <c r="C140" t="inlineStr">
        <is>
          <t>рублей</t>
        </is>
      </c>
      <c r="D140" t="inlineStr">
        <is>
          <t>сто тридцать восемь</t>
        </is>
      </c>
      <c r="E140" t="inlineStr">
        <is>
          <t>тысяч</t>
        </is>
      </c>
      <c r="F140" t="inlineStr">
        <is>
          <t>копеек</t>
        </is>
      </c>
    </row>
    <row r="141">
      <c r="A141" t="n">
        <v>139</v>
      </c>
      <c r="B141" t="inlineStr">
        <is>
          <t>сто тридцать девять</t>
        </is>
      </c>
      <c r="C141" t="inlineStr">
        <is>
          <t>рублей</t>
        </is>
      </c>
      <c r="D141" t="inlineStr">
        <is>
          <t>сто тридцать девять</t>
        </is>
      </c>
      <c r="E141" t="inlineStr">
        <is>
          <t>тысяч</t>
        </is>
      </c>
      <c r="F141" t="inlineStr">
        <is>
          <t>копеек</t>
        </is>
      </c>
    </row>
    <row r="142">
      <c r="A142" t="n">
        <v>140</v>
      </c>
      <c r="B142" t="inlineStr">
        <is>
          <t>сто сорок</t>
        </is>
      </c>
      <c r="C142" t="inlineStr">
        <is>
          <t>рублей</t>
        </is>
      </c>
      <c r="D142" t="inlineStr">
        <is>
          <t>сто сорок</t>
        </is>
      </c>
      <c r="E142" t="inlineStr">
        <is>
          <t>тысяч</t>
        </is>
      </c>
      <c r="F142" t="inlineStr">
        <is>
          <t>копеек</t>
        </is>
      </c>
    </row>
    <row r="143">
      <c r="A143" t="n">
        <v>141</v>
      </c>
      <c r="B143" t="inlineStr">
        <is>
          <t>сто сорок один</t>
        </is>
      </c>
      <c r="C143" t="inlineStr">
        <is>
          <t>рубль</t>
        </is>
      </c>
      <c r="D143" t="inlineStr">
        <is>
          <t>сто сорок одна</t>
        </is>
      </c>
      <c r="E143" t="inlineStr">
        <is>
          <t>тысяча</t>
        </is>
      </c>
      <c r="F143" t="inlineStr">
        <is>
          <t>копейка</t>
        </is>
      </c>
    </row>
    <row r="144">
      <c r="A144" t="n">
        <v>142</v>
      </c>
      <c r="B144" t="inlineStr">
        <is>
          <t>сто сорок два</t>
        </is>
      </c>
      <c r="C144" t="inlineStr">
        <is>
          <t>рубля</t>
        </is>
      </c>
      <c r="D144" t="inlineStr">
        <is>
          <t>сто сорок две</t>
        </is>
      </c>
      <c r="E144" t="inlineStr">
        <is>
          <t>тысячи</t>
        </is>
      </c>
      <c r="F144" t="inlineStr">
        <is>
          <t>копейки</t>
        </is>
      </c>
    </row>
    <row r="145">
      <c r="A145" t="n">
        <v>143</v>
      </c>
      <c r="B145" t="inlineStr">
        <is>
          <t>сто сорок три</t>
        </is>
      </c>
      <c r="C145" t="inlineStr">
        <is>
          <t>рубля</t>
        </is>
      </c>
      <c r="D145" t="inlineStr">
        <is>
          <t>сто сорок три</t>
        </is>
      </c>
      <c r="E145" t="inlineStr">
        <is>
          <t>тысячи</t>
        </is>
      </c>
      <c r="F145" t="inlineStr">
        <is>
          <t>копейки</t>
        </is>
      </c>
    </row>
    <row r="146">
      <c r="A146" t="n">
        <v>144</v>
      </c>
      <c r="B146" t="inlineStr">
        <is>
          <t>сто сорок четыре</t>
        </is>
      </c>
      <c r="C146" t="inlineStr">
        <is>
          <t>рубля</t>
        </is>
      </c>
      <c r="D146" t="inlineStr">
        <is>
          <t>сто сорок четыре</t>
        </is>
      </c>
      <c r="E146" t="inlineStr">
        <is>
          <t>тысячи</t>
        </is>
      </c>
      <c r="F146" t="inlineStr">
        <is>
          <t>копейки</t>
        </is>
      </c>
    </row>
    <row r="147">
      <c r="A147" t="n">
        <v>145</v>
      </c>
      <c r="B147" t="inlineStr">
        <is>
          <t>сто сорок пять</t>
        </is>
      </c>
      <c r="C147" t="inlineStr">
        <is>
          <t>рублей</t>
        </is>
      </c>
      <c r="D147" t="inlineStr">
        <is>
          <t>сто сорок пять</t>
        </is>
      </c>
      <c r="E147" t="inlineStr">
        <is>
          <t>тысяч</t>
        </is>
      </c>
      <c r="F147" t="inlineStr">
        <is>
          <t>копеек</t>
        </is>
      </c>
    </row>
    <row r="148">
      <c r="A148" t="n">
        <v>146</v>
      </c>
      <c r="B148" t="inlineStr">
        <is>
          <t>сто сорок шесть</t>
        </is>
      </c>
      <c r="C148" t="inlineStr">
        <is>
          <t>рублей</t>
        </is>
      </c>
      <c r="D148" t="inlineStr">
        <is>
          <t>сто сорок шесть</t>
        </is>
      </c>
      <c r="E148" t="inlineStr">
        <is>
          <t>тысяч</t>
        </is>
      </c>
      <c r="F148" t="inlineStr">
        <is>
          <t>копеек</t>
        </is>
      </c>
    </row>
    <row r="149">
      <c r="A149" t="n">
        <v>147</v>
      </c>
      <c r="B149" t="inlineStr">
        <is>
          <t>сто сорок семь</t>
        </is>
      </c>
      <c r="C149" t="inlineStr">
        <is>
          <t>рублей</t>
        </is>
      </c>
      <c r="D149" t="inlineStr">
        <is>
          <t>сто сорок семь</t>
        </is>
      </c>
      <c r="E149" t="inlineStr">
        <is>
          <t>тысяч</t>
        </is>
      </c>
      <c r="F149" t="inlineStr">
        <is>
          <t>копеек</t>
        </is>
      </c>
    </row>
    <row r="150">
      <c r="A150" t="n">
        <v>148</v>
      </c>
      <c r="B150" t="inlineStr">
        <is>
          <t>сто сорок восемь</t>
        </is>
      </c>
      <c r="C150" t="inlineStr">
        <is>
          <t>рублей</t>
        </is>
      </c>
      <c r="D150" t="inlineStr">
        <is>
          <t>сто сорок восемь</t>
        </is>
      </c>
      <c r="E150" t="inlineStr">
        <is>
          <t>тысяч</t>
        </is>
      </c>
      <c r="F150" t="inlineStr">
        <is>
          <t>копеек</t>
        </is>
      </c>
    </row>
    <row r="151">
      <c r="A151" t="n">
        <v>149</v>
      </c>
      <c r="B151" t="inlineStr">
        <is>
          <t>сто сорок девять</t>
        </is>
      </c>
      <c r="C151" t="inlineStr">
        <is>
          <t>рублей</t>
        </is>
      </c>
      <c r="D151" t="inlineStr">
        <is>
          <t>сто сорок девять</t>
        </is>
      </c>
      <c r="E151" t="inlineStr">
        <is>
          <t>тысяч</t>
        </is>
      </c>
      <c r="F151" t="inlineStr">
        <is>
          <t>копеек</t>
        </is>
      </c>
    </row>
    <row r="152">
      <c r="A152" t="n">
        <v>150</v>
      </c>
      <c r="B152" t="inlineStr">
        <is>
          <t>сто пятьдесят</t>
        </is>
      </c>
      <c r="C152" t="inlineStr">
        <is>
          <t>рублей</t>
        </is>
      </c>
      <c r="D152" t="inlineStr">
        <is>
          <t>сто пятьдесят</t>
        </is>
      </c>
      <c r="E152" t="inlineStr">
        <is>
          <t>тысяч</t>
        </is>
      </c>
      <c r="F152" t="inlineStr">
        <is>
          <t>копеек</t>
        </is>
      </c>
    </row>
    <row r="153">
      <c r="A153" t="n">
        <v>151</v>
      </c>
      <c r="B153" t="inlineStr">
        <is>
          <t>сто пятьдесят один</t>
        </is>
      </c>
      <c r="C153" t="inlineStr">
        <is>
          <t>рубль</t>
        </is>
      </c>
      <c r="D153" t="inlineStr">
        <is>
          <t>сто пятьдесят одна</t>
        </is>
      </c>
      <c r="E153" t="inlineStr">
        <is>
          <t>тысяча</t>
        </is>
      </c>
      <c r="F153" t="inlineStr">
        <is>
          <t>копейка</t>
        </is>
      </c>
    </row>
    <row r="154">
      <c r="A154" t="n">
        <v>152</v>
      </c>
      <c r="B154" t="inlineStr">
        <is>
          <t>сто пятьдесят два</t>
        </is>
      </c>
      <c r="C154" t="inlineStr">
        <is>
          <t>рубля</t>
        </is>
      </c>
      <c r="D154" t="inlineStr">
        <is>
          <t>сто пятьдесят две</t>
        </is>
      </c>
      <c r="E154" t="inlineStr">
        <is>
          <t>тысячи</t>
        </is>
      </c>
      <c r="F154" t="inlineStr">
        <is>
          <t>копейки</t>
        </is>
      </c>
    </row>
    <row r="155">
      <c r="A155" t="n">
        <v>153</v>
      </c>
      <c r="B155" t="inlineStr">
        <is>
          <t>сто пятьдесят три</t>
        </is>
      </c>
      <c r="C155" t="inlineStr">
        <is>
          <t>рубля</t>
        </is>
      </c>
      <c r="D155" t="inlineStr">
        <is>
          <t>сто пятьдесят три</t>
        </is>
      </c>
      <c r="E155" t="inlineStr">
        <is>
          <t>тысячи</t>
        </is>
      </c>
      <c r="F155" t="inlineStr">
        <is>
          <t>копейки</t>
        </is>
      </c>
    </row>
    <row r="156">
      <c r="A156" t="n">
        <v>154</v>
      </c>
      <c r="B156" t="inlineStr">
        <is>
          <t>сто пятьдесят четыре</t>
        </is>
      </c>
      <c r="C156" t="inlineStr">
        <is>
          <t>рубля</t>
        </is>
      </c>
      <c r="D156" t="inlineStr">
        <is>
          <t>сто пятьдесят четыре</t>
        </is>
      </c>
      <c r="E156" t="inlineStr">
        <is>
          <t>тысячи</t>
        </is>
      </c>
      <c r="F156" t="inlineStr">
        <is>
          <t>копейки</t>
        </is>
      </c>
    </row>
    <row r="157">
      <c r="A157" t="n">
        <v>155</v>
      </c>
      <c r="B157" t="inlineStr">
        <is>
          <t>сто пятьдесят пять</t>
        </is>
      </c>
      <c r="C157" t="inlineStr">
        <is>
          <t>рублей</t>
        </is>
      </c>
      <c r="D157" t="inlineStr">
        <is>
          <t>сто пятьдесят пять</t>
        </is>
      </c>
      <c r="E157" t="inlineStr">
        <is>
          <t>тысяч</t>
        </is>
      </c>
      <c r="F157" t="inlineStr">
        <is>
          <t>копеек</t>
        </is>
      </c>
    </row>
    <row r="158">
      <c r="A158" t="n">
        <v>156</v>
      </c>
      <c r="B158" t="inlineStr">
        <is>
          <t>сто пятьдесят шесть</t>
        </is>
      </c>
      <c r="C158" t="inlineStr">
        <is>
          <t>рублей</t>
        </is>
      </c>
      <c r="D158" t="inlineStr">
        <is>
          <t>сто пятьдесят шесть</t>
        </is>
      </c>
      <c r="E158" t="inlineStr">
        <is>
          <t>тысяч</t>
        </is>
      </c>
      <c r="F158" t="inlineStr">
        <is>
          <t>копеек</t>
        </is>
      </c>
    </row>
    <row r="159">
      <c r="A159" t="n">
        <v>157</v>
      </c>
      <c r="B159" t="inlineStr">
        <is>
          <t>сто пятьдесят семь</t>
        </is>
      </c>
      <c r="C159" t="inlineStr">
        <is>
          <t>рублей</t>
        </is>
      </c>
      <c r="D159" t="inlineStr">
        <is>
          <t>сто пятьдесят семь</t>
        </is>
      </c>
      <c r="E159" t="inlineStr">
        <is>
          <t>тысяч</t>
        </is>
      </c>
      <c r="F159" t="inlineStr">
        <is>
          <t>копеек</t>
        </is>
      </c>
    </row>
    <row r="160">
      <c r="A160" t="n">
        <v>158</v>
      </c>
      <c r="B160" t="inlineStr">
        <is>
          <t>сто пятьдесят восемь</t>
        </is>
      </c>
      <c r="C160" t="inlineStr">
        <is>
          <t>рублей</t>
        </is>
      </c>
      <c r="D160" t="inlineStr">
        <is>
          <t>сто пятьдесят восемь</t>
        </is>
      </c>
      <c r="E160" t="inlineStr">
        <is>
          <t>тысяч</t>
        </is>
      </c>
      <c r="F160" t="inlineStr">
        <is>
          <t>копеек</t>
        </is>
      </c>
    </row>
    <row r="161">
      <c r="A161" t="n">
        <v>159</v>
      </c>
      <c r="B161" t="inlineStr">
        <is>
          <t>сто пятьдесят девять</t>
        </is>
      </c>
      <c r="C161" t="inlineStr">
        <is>
          <t>рублей</t>
        </is>
      </c>
      <c r="D161" t="inlineStr">
        <is>
          <t>сто пятьдесят девять</t>
        </is>
      </c>
      <c r="E161" t="inlineStr">
        <is>
          <t>тысяч</t>
        </is>
      </c>
      <c r="F161" t="inlineStr">
        <is>
          <t>копеек</t>
        </is>
      </c>
    </row>
    <row r="162">
      <c r="A162" t="n">
        <v>160</v>
      </c>
      <c r="B162" t="inlineStr">
        <is>
          <t>сто шестьдесят</t>
        </is>
      </c>
      <c r="C162" t="inlineStr">
        <is>
          <t>рублей</t>
        </is>
      </c>
      <c r="D162" t="inlineStr">
        <is>
          <t>сто шестьдесят</t>
        </is>
      </c>
      <c r="E162" t="inlineStr">
        <is>
          <t>тысяч</t>
        </is>
      </c>
      <c r="F162" t="inlineStr">
        <is>
          <t>копеек</t>
        </is>
      </c>
    </row>
    <row r="163">
      <c r="A163" t="n">
        <v>161</v>
      </c>
      <c r="B163" t="inlineStr">
        <is>
          <t>сто шестьдесят один</t>
        </is>
      </c>
      <c r="C163" t="inlineStr">
        <is>
          <t>рубль</t>
        </is>
      </c>
      <c r="D163" t="inlineStr">
        <is>
          <t>сто шестьдесят одна</t>
        </is>
      </c>
      <c r="E163" t="inlineStr">
        <is>
          <t>тысяча</t>
        </is>
      </c>
      <c r="F163" t="inlineStr">
        <is>
          <t>копейка</t>
        </is>
      </c>
    </row>
    <row r="164">
      <c r="A164" t="n">
        <v>162</v>
      </c>
      <c r="B164" t="inlineStr">
        <is>
          <t>сто шестьдесят два</t>
        </is>
      </c>
      <c r="C164" t="inlineStr">
        <is>
          <t>рубля</t>
        </is>
      </c>
      <c r="D164" t="inlineStr">
        <is>
          <t>сто шестьдесят две</t>
        </is>
      </c>
      <c r="E164" t="inlineStr">
        <is>
          <t>тысячи</t>
        </is>
      </c>
      <c r="F164" t="inlineStr">
        <is>
          <t>копейки</t>
        </is>
      </c>
    </row>
    <row r="165">
      <c r="A165" t="n">
        <v>163</v>
      </c>
      <c r="B165" t="inlineStr">
        <is>
          <t>сто шестьдесят три</t>
        </is>
      </c>
      <c r="C165" t="inlineStr">
        <is>
          <t>рубля</t>
        </is>
      </c>
      <c r="D165" t="inlineStr">
        <is>
          <t>сто шестьдесят три</t>
        </is>
      </c>
      <c r="E165" t="inlineStr">
        <is>
          <t>тысячи</t>
        </is>
      </c>
      <c r="F165" t="inlineStr">
        <is>
          <t>копейки</t>
        </is>
      </c>
    </row>
    <row r="166">
      <c r="A166" t="n">
        <v>164</v>
      </c>
      <c r="B166" t="inlineStr">
        <is>
          <t>сто шестьдесят четыре</t>
        </is>
      </c>
      <c r="C166" t="inlineStr">
        <is>
          <t>рубля</t>
        </is>
      </c>
      <c r="D166" t="inlineStr">
        <is>
          <t>сто шестьдесят четыре</t>
        </is>
      </c>
      <c r="E166" t="inlineStr">
        <is>
          <t>тысячи</t>
        </is>
      </c>
      <c r="F166" t="inlineStr">
        <is>
          <t>копейки</t>
        </is>
      </c>
    </row>
    <row r="167">
      <c r="A167" t="n">
        <v>165</v>
      </c>
      <c r="B167" t="inlineStr">
        <is>
          <t>сто шестьдесят пять</t>
        </is>
      </c>
      <c r="C167" t="inlineStr">
        <is>
          <t>рублей</t>
        </is>
      </c>
      <c r="D167" t="inlineStr">
        <is>
          <t>сто шестьдесят пять</t>
        </is>
      </c>
      <c r="E167" t="inlineStr">
        <is>
          <t>тысяч</t>
        </is>
      </c>
      <c r="F167" t="inlineStr">
        <is>
          <t>копеек</t>
        </is>
      </c>
    </row>
    <row r="168">
      <c r="A168" t="n">
        <v>166</v>
      </c>
      <c r="B168" t="inlineStr">
        <is>
          <t>сто шестьдесят шесть</t>
        </is>
      </c>
      <c r="C168" t="inlineStr">
        <is>
          <t>рублей</t>
        </is>
      </c>
      <c r="D168" t="inlineStr">
        <is>
          <t>сто шестьдесят шесть</t>
        </is>
      </c>
      <c r="E168" t="inlineStr">
        <is>
          <t>тысяч</t>
        </is>
      </c>
      <c r="F168" t="inlineStr">
        <is>
          <t>копеек</t>
        </is>
      </c>
    </row>
    <row r="169">
      <c r="A169" t="n">
        <v>167</v>
      </c>
      <c r="B169" t="inlineStr">
        <is>
          <t>сто шестьдесят семь</t>
        </is>
      </c>
      <c r="C169" t="inlineStr">
        <is>
          <t>рублей</t>
        </is>
      </c>
      <c r="D169" t="inlineStr">
        <is>
          <t>сто шестьдесят семь</t>
        </is>
      </c>
      <c r="E169" t="inlineStr">
        <is>
          <t>тысяч</t>
        </is>
      </c>
      <c r="F169" t="inlineStr">
        <is>
          <t>копеек</t>
        </is>
      </c>
    </row>
    <row r="170">
      <c r="A170" t="n">
        <v>168</v>
      </c>
      <c r="B170" t="inlineStr">
        <is>
          <t>сто шестьдесят восемь</t>
        </is>
      </c>
      <c r="C170" t="inlineStr">
        <is>
          <t>рублей</t>
        </is>
      </c>
      <c r="D170" t="inlineStr">
        <is>
          <t>сто шестьдесят восемь</t>
        </is>
      </c>
      <c r="E170" t="inlineStr">
        <is>
          <t>тысяч</t>
        </is>
      </c>
      <c r="F170" t="inlineStr">
        <is>
          <t>копеек</t>
        </is>
      </c>
    </row>
    <row r="171">
      <c r="A171" t="n">
        <v>169</v>
      </c>
      <c r="B171" t="inlineStr">
        <is>
          <t>сто шестьдесят девять</t>
        </is>
      </c>
      <c r="C171" t="inlineStr">
        <is>
          <t>рублей</t>
        </is>
      </c>
      <c r="D171" t="inlineStr">
        <is>
          <t>сто шестьдесят девять</t>
        </is>
      </c>
      <c r="E171" t="inlineStr">
        <is>
          <t>тысяч</t>
        </is>
      </c>
      <c r="F171" t="inlineStr">
        <is>
          <t>копеек</t>
        </is>
      </c>
    </row>
    <row r="172">
      <c r="A172" t="n">
        <v>170</v>
      </c>
      <c r="B172" t="inlineStr">
        <is>
          <t>сто семьдесят</t>
        </is>
      </c>
      <c r="C172" t="inlineStr">
        <is>
          <t>рублей</t>
        </is>
      </c>
      <c r="D172" t="inlineStr">
        <is>
          <t>сто семьдесят</t>
        </is>
      </c>
      <c r="E172" t="inlineStr">
        <is>
          <t>тысяч</t>
        </is>
      </c>
      <c r="F172" t="inlineStr">
        <is>
          <t>копеек</t>
        </is>
      </c>
    </row>
    <row r="173">
      <c r="A173" t="n">
        <v>171</v>
      </c>
      <c r="B173" t="inlineStr">
        <is>
          <t>сто семьдесят один</t>
        </is>
      </c>
      <c r="C173" t="inlineStr">
        <is>
          <t>рубль</t>
        </is>
      </c>
      <c r="D173" t="inlineStr">
        <is>
          <t>сто семьдесят одна</t>
        </is>
      </c>
      <c r="E173" t="inlineStr">
        <is>
          <t>тысяча</t>
        </is>
      </c>
      <c r="F173" t="inlineStr">
        <is>
          <t>копейка</t>
        </is>
      </c>
    </row>
    <row r="174">
      <c r="A174" t="n">
        <v>172</v>
      </c>
      <c r="B174" t="inlineStr">
        <is>
          <t>сто семьдесят два</t>
        </is>
      </c>
      <c r="C174" t="inlineStr">
        <is>
          <t>рубля</t>
        </is>
      </c>
      <c r="D174" t="inlineStr">
        <is>
          <t>сто семьдесят две</t>
        </is>
      </c>
      <c r="E174" t="inlineStr">
        <is>
          <t>тысячи</t>
        </is>
      </c>
      <c r="F174" t="inlineStr">
        <is>
          <t>копейки</t>
        </is>
      </c>
    </row>
    <row r="175">
      <c r="A175" t="n">
        <v>173</v>
      </c>
      <c r="B175" t="inlineStr">
        <is>
          <t>сто семьдесят три</t>
        </is>
      </c>
      <c r="C175" t="inlineStr">
        <is>
          <t>рубля</t>
        </is>
      </c>
      <c r="D175" t="inlineStr">
        <is>
          <t>сто семьдесят три</t>
        </is>
      </c>
      <c r="E175" t="inlineStr">
        <is>
          <t>тысячи</t>
        </is>
      </c>
      <c r="F175" t="inlineStr">
        <is>
          <t>копейки</t>
        </is>
      </c>
    </row>
    <row r="176">
      <c r="A176" t="n">
        <v>174</v>
      </c>
      <c r="B176" t="inlineStr">
        <is>
          <t>сто семьдесят четыре</t>
        </is>
      </c>
      <c r="C176" t="inlineStr">
        <is>
          <t>рубля</t>
        </is>
      </c>
      <c r="D176" t="inlineStr">
        <is>
          <t>сто семьдесят четыре</t>
        </is>
      </c>
      <c r="E176" t="inlineStr">
        <is>
          <t>тысячи</t>
        </is>
      </c>
      <c r="F176" t="inlineStr">
        <is>
          <t>копейки</t>
        </is>
      </c>
    </row>
    <row r="177">
      <c r="A177" t="n">
        <v>175</v>
      </c>
      <c r="B177" t="inlineStr">
        <is>
          <t>сто семьдесят пять</t>
        </is>
      </c>
      <c r="C177" t="inlineStr">
        <is>
          <t>рублей</t>
        </is>
      </c>
      <c r="D177" t="inlineStr">
        <is>
          <t>сто семьдесят пять</t>
        </is>
      </c>
      <c r="E177" t="inlineStr">
        <is>
          <t>тысяч</t>
        </is>
      </c>
      <c r="F177" t="inlineStr">
        <is>
          <t>копеек</t>
        </is>
      </c>
    </row>
    <row r="178">
      <c r="A178" t="n">
        <v>176</v>
      </c>
      <c r="B178" t="inlineStr">
        <is>
          <t>сто семьдесят шесть</t>
        </is>
      </c>
      <c r="C178" t="inlineStr">
        <is>
          <t>рублей</t>
        </is>
      </c>
      <c r="D178" t="inlineStr">
        <is>
          <t>сто семьдесят шесть</t>
        </is>
      </c>
      <c r="E178" t="inlineStr">
        <is>
          <t>тысяч</t>
        </is>
      </c>
      <c r="F178" t="inlineStr">
        <is>
          <t>копеек</t>
        </is>
      </c>
    </row>
    <row r="179">
      <c r="A179" t="n">
        <v>177</v>
      </c>
      <c r="B179" t="inlineStr">
        <is>
          <t>сто семьдесят семь</t>
        </is>
      </c>
      <c r="C179" t="inlineStr">
        <is>
          <t>рублей</t>
        </is>
      </c>
      <c r="D179" t="inlineStr">
        <is>
          <t>сто семьдесят семь</t>
        </is>
      </c>
      <c r="E179" t="inlineStr">
        <is>
          <t>тысяч</t>
        </is>
      </c>
      <c r="F179" t="inlineStr">
        <is>
          <t>копеек</t>
        </is>
      </c>
    </row>
    <row r="180">
      <c r="A180" t="n">
        <v>178</v>
      </c>
      <c r="B180" t="inlineStr">
        <is>
          <t>сто семьдесят восемь</t>
        </is>
      </c>
      <c r="C180" t="inlineStr">
        <is>
          <t>рублей</t>
        </is>
      </c>
      <c r="D180" t="inlineStr">
        <is>
          <t>сто семьдесят восемь</t>
        </is>
      </c>
      <c r="E180" t="inlineStr">
        <is>
          <t>тысяч</t>
        </is>
      </c>
      <c r="F180" t="inlineStr">
        <is>
          <t>копеек</t>
        </is>
      </c>
    </row>
    <row r="181">
      <c r="A181" t="n">
        <v>179</v>
      </c>
      <c r="B181" t="inlineStr">
        <is>
          <t>сто семьдесят девять</t>
        </is>
      </c>
      <c r="C181" t="inlineStr">
        <is>
          <t>рублей</t>
        </is>
      </c>
      <c r="D181" t="inlineStr">
        <is>
          <t>сто семьдесят девять</t>
        </is>
      </c>
      <c r="E181" t="inlineStr">
        <is>
          <t>тысяч</t>
        </is>
      </c>
      <c r="F181" t="inlineStr">
        <is>
          <t>копеек</t>
        </is>
      </c>
    </row>
    <row r="182">
      <c r="A182" t="n">
        <v>180</v>
      </c>
      <c r="B182" t="inlineStr">
        <is>
          <t>сто восемьдесят</t>
        </is>
      </c>
      <c r="C182" t="inlineStr">
        <is>
          <t>рублей</t>
        </is>
      </c>
      <c r="D182" t="inlineStr">
        <is>
          <t>сто восемьдесят</t>
        </is>
      </c>
      <c r="E182" t="inlineStr">
        <is>
          <t>тысяч</t>
        </is>
      </c>
      <c r="F182" t="inlineStr">
        <is>
          <t>копеек</t>
        </is>
      </c>
    </row>
    <row r="183">
      <c r="A183" t="n">
        <v>181</v>
      </c>
      <c r="B183" t="inlineStr">
        <is>
          <t>сто восемьдесят один</t>
        </is>
      </c>
      <c r="C183" t="inlineStr">
        <is>
          <t>рубль</t>
        </is>
      </c>
      <c r="D183" t="inlineStr">
        <is>
          <t>сто восемьдесят одна</t>
        </is>
      </c>
      <c r="E183" t="inlineStr">
        <is>
          <t>тысяча</t>
        </is>
      </c>
      <c r="F183" t="inlineStr">
        <is>
          <t>копейка</t>
        </is>
      </c>
    </row>
    <row r="184">
      <c r="A184" t="n">
        <v>182</v>
      </c>
      <c r="B184" t="inlineStr">
        <is>
          <t>сто восемьдесят два</t>
        </is>
      </c>
      <c r="C184" t="inlineStr">
        <is>
          <t>рубля</t>
        </is>
      </c>
      <c r="D184" t="inlineStr">
        <is>
          <t>сто восемьдесят две</t>
        </is>
      </c>
      <c r="E184" t="inlineStr">
        <is>
          <t>тысячи</t>
        </is>
      </c>
      <c r="F184" t="inlineStr">
        <is>
          <t>копейки</t>
        </is>
      </c>
    </row>
    <row r="185">
      <c r="A185" t="n">
        <v>183</v>
      </c>
      <c r="B185" t="inlineStr">
        <is>
          <t>сто восемьдесят три</t>
        </is>
      </c>
      <c r="C185" t="inlineStr">
        <is>
          <t>рубля</t>
        </is>
      </c>
      <c r="D185" t="inlineStr">
        <is>
          <t>сто восемьдесят три</t>
        </is>
      </c>
      <c r="E185" t="inlineStr">
        <is>
          <t>тысячи</t>
        </is>
      </c>
      <c r="F185" t="inlineStr">
        <is>
          <t>копейки</t>
        </is>
      </c>
    </row>
    <row r="186">
      <c r="A186" t="n">
        <v>184</v>
      </c>
      <c r="B186" t="inlineStr">
        <is>
          <t>сто восемьдесят четыре</t>
        </is>
      </c>
      <c r="C186" t="inlineStr">
        <is>
          <t>рубля</t>
        </is>
      </c>
      <c r="D186" t="inlineStr">
        <is>
          <t>сто восемьдесят четыре</t>
        </is>
      </c>
      <c r="E186" t="inlineStr">
        <is>
          <t>тысячи</t>
        </is>
      </c>
      <c r="F186" t="inlineStr">
        <is>
          <t>копейки</t>
        </is>
      </c>
    </row>
    <row r="187">
      <c r="A187" t="n">
        <v>185</v>
      </c>
      <c r="B187" t="inlineStr">
        <is>
          <t>сто восемьдесят пять</t>
        </is>
      </c>
      <c r="C187" t="inlineStr">
        <is>
          <t>рублей</t>
        </is>
      </c>
      <c r="D187" t="inlineStr">
        <is>
          <t>сто восемьдесят пять</t>
        </is>
      </c>
      <c r="E187" t="inlineStr">
        <is>
          <t>тысяч</t>
        </is>
      </c>
      <c r="F187" t="inlineStr">
        <is>
          <t>копеек</t>
        </is>
      </c>
    </row>
    <row r="188">
      <c r="A188" t="n">
        <v>186</v>
      </c>
      <c r="B188" t="inlineStr">
        <is>
          <t>сто восемьдесят шесть</t>
        </is>
      </c>
      <c r="C188" t="inlineStr">
        <is>
          <t>рублей</t>
        </is>
      </c>
      <c r="D188" t="inlineStr">
        <is>
          <t>сто восемьдесят шесть</t>
        </is>
      </c>
      <c r="E188" t="inlineStr">
        <is>
          <t>тысяч</t>
        </is>
      </c>
      <c r="F188" t="inlineStr">
        <is>
          <t>копеек</t>
        </is>
      </c>
    </row>
    <row r="189">
      <c r="A189" t="n">
        <v>187</v>
      </c>
      <c r="B189" t="inlineStr">
        <is>
          <t>сто восемьдесят семь</t>
        </is>
      </c>
      <c r="C189" t="inlineStr">
        <is>
          <t>рублей</t>
        </is>
      </c>
      <c r="D189" t="inlineStr">
        <is>
          <t>сто восемьдесят семь</t>
        </is>
      </c>
      <c r="E189" t="inlineStr">
        <is>
          <t>тысяч</t>
        </is>
      </c>
      <c r="F189" t="inlineStr">
        <is>
          <t>копеек</t>
        </is>
      </c>
    </row>
    <row r="190">
      <c r="A190" t="n">
        <v>188</v>
      </c>
      <c r="B190" t="inlineStr">
        <is>
          <t>сто восемьдесят восемь</t>
        </is>
      </c>
      <c r="C190" t="inlineStr">
        <is>
          <t>рублей</t>
        </is>
      </c>
      <c r="D190" t="inlineStr">
        <is>
          <t>сто восемьдесят восемь</t>
        </is>
      </c>
      <c r="E190" t="inlineStr">
        <is>
          <t>тысяч</t>
        </is>
      </c>
      <c r="F190" t="inlineStr">
        <is>
          <t>копеек</t>
        </is>
      </c>
    </row>
    <row r="191">
      <c r="A191" t="n">
        <v>189</v>
      </c>
      <c r="B191" t="inlineStr">
        <is>
          <t>сто восемьдесят девять</t>
        </is>
      </c>
      <c r="C191" t="inlineStr">
        <is>
          <t>рублей</t>
        </is>
      </c>
      <c r="D191" t="inlineStr">
        <is>
          <t>сто восемьдесят девять</t>
        </is>
      </c>
      <c r="E191" t="inlineStr">
        <is>
          <t>тысяч</t>
        </is>
      </c>
      <c r="F191" t="inlineStr">
        <is>
          <t>копеек</t>
        </is>
      </c>
    </row>
    <row r="192">
      <c r="A192" t="n">
        <v>190</v>
      </c>
      <c r="B192" t="inlineStr">
        <is>
          <t>сто девяносто</t>
        </is>
      </c>
      <c r="C192" t="inlineStr">
        <is>
          <t>рублей</t>
        </is>
      </c>
      <c r="D192" t="inlineStr">
        <is>
          <t>сто девяносто</t>
        </is>
      </c>
      <c r="E192" t="inlineStr">
        <is>
          <t>тысяч</t>
        </is>
      </c>
      <c r="F192" t="inlineStr">
        <is>
          <t>копеек</t>
        </is>
      </c>
    </row>
    <row r="193">
      <c r="A193" t="n">
        <v>191</v>
      </c>
      <c r="B193" t="inlineStr">
        <is>
          <t>сто девяносто один</t>
        </is>
      </c>
      <c r="C193" t="inlineStr">
        <is>
          <t>рубль</t>
        </is>
      </c>
      <c r="D193" t="inlineStr">
        <is>
          <t>сто девяносто одна</t>
        </is>
      </c>
      <c r="E193" t="inlineStr">
        <is>
          <t>тысяча</t>
        </is>
      </c>
      <c r="F193" t="inlineStr">
        <is>
          <t>копейка</t>
        </is>
      </c>
    </row>
    <row r="194">
      <c r="A194" t="n">
        <v>192</v>
      </c>
      <c r="B194" t="inlineStr">
        <is>
          <t>сто девяносто два</t>
        </is>
      </c>
      <c r="C194" t="inlineStr">
        <is>
          <t>рубля</t>
        </is>
      </c>
      <c r="D194" t="inlineStr">
        <is>
          <t>сто девяносто две</t>
        </is>
      </c>
      <c r="E194" t="inlineStr">
        <is>
          <t>тысячи</t>
        </is>
      </c>
      <c r="F194" t="inlineStr">
        <is>
          <t>копейки</t>
        </is>
      </c>
    </row>
    <row r="195">
      <c r="A195" t="n">
        <v>193</v>
      </c>
      <c r="B195" t="inlineStr">
        <is>
          <t>сто девяносто три</t>
        </is>
      </c>
      <c r="C195" t="inlineStr">
        <is>
          <t>рубля</t>
        </is>
      </c>
      <c r="D195" t="inlineStr">
        <is>
          <t>сто девяносто три</t>
        </is>
      </c>
      <c r="E195" t="inlineStr">
        <is>
          <t>тысячи</t>
        </is>
      </c>
      <c r="F195" t="inlineStr">
        <is>
          <t>копейки</t>
        </is>
      </c>
    </row>
    <row r="196">
      <c r="A196" t="n">
        <v>194</v>
      </c>
      <c r="B196" t="inlineStr">
        <is>
          <t>сто девяносто четыре</t>
        </is>
      </c>
      <c r="C196" t="inlineStr">
        <is>
          <t>рубля</t>
        </is>
      </c>
      <c r="D196" t="inlineStr">
        <is>
          <t>сто девяносто четыре</t>
        </is>
      </c>
      <c r="E196" t="inlineStr">
        <is>
          <t>тысячи</t>
        </is>
      </c>
      <c r="F196" t="inlineStr">
        <is>
          <t>копейки</t>
        </is>
      </c>
    </row>
    <row r="197">
      <c r="A197" t="n">
        <v>195</v>
      </c>
      <c r="B197" t="inlineStr">
        <is>
          <t>сто девяносто пять</t>
        </is>
      </c>
      <c r="C197" t="inlineStr">
        <is>
          <t>рублей</t>
        </is>
      </c>
      <c r="D197" t="inlineStr">
        <is>
          <t>сто девяносто пять</t>
        </is>
      </c>
      <c r="E197" t="inlineStr">
        <is>
          <t>тысяч</t>
        </is>
      </c>
      <c r="F197" t="inlineStr">
        <is>
          <t>копеек</t>
        </is>
      </c>
    </row>
    <row r="198">
      <c r="A198" t="n">
        <v>196</v>
      </c>
      <c r="B198" t="inlineStr">
        <is>
          <t>сто девяносто шесть</t>
        </is>
      </c>
      <c r="C198" t="inlineStr">
        <is>
          <t>рублей</t>
        </is>
      </c>
      <c r="D198" t="inlineStr">
        <is>
          <t>сто девяносто шесть</t>
        </is>
      </c>
      <c r="E198" t="inlineStr">
        <is>
          <t>тысяч</t>
        </is>
      </c>
      <c r="F198" t="inlineStr">
        <is>
          <t>копеек</t>
        </is>
      </c>
    </row>
    <row r="199">
      <c r="A199" t="n">
        <v>197</v>
      </c>
      <c r="B199" t="inlineStr">
        <is>
          <t>сто девяносто семь</t>
        </is>
      </c>
      <c r="C199" t="inlineStr">
        <is>
          <t>рублей</t>
        </is>
      </c>
      <c r="D199" t="inlineStr">
        <is>
          <t>сто девяносто семь</t>
        </is>
      </c>
      <c r="E199" t="inlineStr">
        <is>
          <t>тысяч</t>
        </is>
      </c>
      <c r="F199" t="inlineStr">
        <is>
          <t>копеек</t>
        </is>
      </c>
    </row>
    <row r="200">
      <c r="A200" t="n">
        <v>198</v>
      </c>
      <c r="B200" t="inlineStr">
        <is>
          <t>сто девяносто восемь</t>
        </is>
      </c>
      <c r="C200" t="inlineStr">
        <is>
          <t>рублей</t>
        </is>
      </c>
      <c r="D200" t="inlineStr">
        <is>
          <t>сто девяносто восемь</t>
        </is>
      </c>
      <c r="E200" t="inlineStr">
        <is>
          <t>тысяч</t>
        </is>
      </c>
      <c r="F200" t="inlineStr">
        <is>
          <t>копеек</t>
        </is>
      </c>
    </row>
    <row r="201">
      <c r="A201" t="n">
        <v>199</v>
      </c>
      <c r="B201" t="inlineStr">
        <is>
          <t>сто девяносто девять</t>
        </is>
      </c>
      <c r="C201" t="inlineStr">
        <is>
          <t>рублей</t>
        </is>
      </c>
      <c r="D201" t="inlineStr">
        <is>
          <t>сто девяносто девять</t>
        </is>
      </c>
      <c r="E201" t="inlineStr">
        <is>
          <t>тысяч</t>
        </is>
      </c>
      <c r="F201" t="inlineStr">
        <is>
          <t>копеек</t>
        </is>
      </c>
    </row>
    <row r="202">
      <c r="A202" t="n">
        <v>200</v>
      </c>
      <c r="B202" t="inlineStr">
        <is>
          <t>двести</t>
        </is>
      </c>
      <c r="C202" t="inlineStr">
        <is>
          <t>рублей</t>
        </is>
      </c>
      <c r="D202" t="inlineStr">
        <is>
          <t>двести</t>
        </is>
      </c>
      <c r="E202" t="inlineStr">
        <is>
          <t>тысяч</t>
        </is>
      </c>
      <c r="F202" t="inlineStr">
        <is>
          <t>копеек</t>
        </is>
      </c>
    </row>
    <row r="203">
      <c r="A203" t="n">
        <v>201</v>
      </c>
      <c r="B203" t="inlineStr">
        <is>
          <t>двести один</t>
        </is>
      </c>
      <c r="C203" t="inlineStr">
        <is>
          <t>рубль</t>
        </is>
      </c>
      <c r="D203" t="inlineStr">
        <is>
          <t>двести одна</t>
        </is>
      </c>
      <c r="E203" t="inlineStr">
        <is>
          <t>тысяча</t>
        </is>
      </c>
      <c r="F203" t="inlineStr">
        <is>
          <t>копейка</t>
        </is>
      </c>
    </row>
    <row r="204">
      <c r="A204" t="n">
        <v>202</v>
      </c>
      <c r="B204" t="inlineStr">
        <is>
          <t>двести два</t>
        </is>
      </c>
      <c r="C204" t="inlineStr">
        <is>
          <t>рубля</t>
        </is>
      </c>
      <c r="D204" t="inlineStr">
        <is>
          <t>двести две</t>
        </is>
      </c>
      <c r="E204" t="inlineStr">
        <is>
          <t>тысячи</t>
        </is>
      </c>
      <c r="F204" t="inlineStr">
        <is>
          <t>копейки</t>
        </is>
      </c>
    </row>
    <row r="205">
      <c r="A205" t="n">
        <v>203</v>
      </c>
      <c r="B205" t="inlineStr">
        <is>
          <t>двести три</t>
        </is>
      </c>
      <c r="C205" t="inlineStr">
        <is>
          <t>рубля</t>
        </is>
      </c>
      <c r="D205" t="inlineStr">
        <is>
          <t>двести три</t>
        </is>
      </c>
      <c r="E205" t="inlineStr">
        <is>
          <t>тысячи</t>
        </is>
      </c>
      <c r="F205" t="inlineStr">
        <is>
          <t>копейки</t>
        </is>
      </c>
    </row>
    <row r="206">
      <c r="A206" t="n">
        <v>204</v>
      </c>
      <c r="B206" t="inlineStr">
        <is>
          <t>двести четыре</t>
        </is>
      </c>
      <c r="C206" t="inlineStr">
        <is>
          <t>рубля</t>
        </is>
      </c>
      <c r="D206" t="inlineStr">
        <is>
          <t>двести четыре</t>
        </is>
      </c>
      <c r="E206" t="inlineStr">
        <is>
          <t>тысячи</t>
        </is>
      </c>
      <c r="F206" t="inlineStr">
        <is>
          <t>копейки</t>
        </is>
      </c>
    </row>
    <row r="207">
      <c r="A207" t="n">
        <v>205</v>
      </c>
      <c r="B207" t="inlineStr">
        <is>
          <t>двести пять</t>
        </is>
      </c>
      <c r="C207" t="inlineStr">
        <is>
          <t>рублей</t>
        </is>
      </c>
      <c r="D207" t="inlineStr">
        <is>
          <t>двести пять</t>
        </is>
      </c>
      <c r="E207" t="inlineStr">
        <is>
          <t>тысяч</t>
        </is>
      </c>
      <c r="F207" t="inlineStr">
        <is>
          <t>копеек</t>
        </is>
      </c>
    </row>
    <row r="208">
      <c r="A208" t="n">
        <v>206</v>
      </c>
      <c r="B208" t="inlineStr">
        <is>
          <t>двести шесть</t>
        </is>
      </c>
      <c r="C208" t="inlineStr">
        <is>
          <t>рублей</t>
        </is>
      </c>
      <c r="D208" t="inlineStr">
        <is>
          <t>двести шесть</t>
        </is>
      </c>
      <c r="E208" t="inlineStr">
        <is>
          <t>тысяч</t>
        </is>
      </c>
      <c r="F208" t="inlineStr">
        <is>
          <t>копеек</t>
        </is>
      </c>
    </row>
    <row r="209">
      <c r="A209" t="n">
        <v>207</v>
      </c>
      <c r="B209" t="inlineStr">
        <is>
          <t>двести семь</t>
        </is>
      </c>
      <c r="C209" t="inlineStr">
        <is>
          <t>рублей</t>
        </is>
      </c>
      <c r="D209" t="inlineStr">
        <is>
          <t>двести семь</t>
        </is>
      </c>
      <c r="E209" t="inlineStr">
        <is>
          <t>тысяч</t>
        </is>
      </c>
      <c r="F209" t="inlineStr">
        <is>
          <t>копеек</t>
        </is>
      </c>
    </row>
    <row r="210">
      <c r="A210" t="n">
        <v>208</v>
      </c>
      <c r="B210" t="inlineStr">
        <is>
          <t>двести восемь</t>
        </is>
      </c>
      <c r="C210" t="inlineStr">
        <is>
          <t>рублей</t>
        </is>
      </c>
      <c r="D210" t="inlineStr">
        <is>
          <t>двести восемь</t>
        </is>
      </c>
      <c r="E210" t="inlineStr">
        <is>
          <t>тысяч</t>
        </is>
      </c>
      <c r="F210" t="inlineStr">
        <is>
          <t>копеек</t>
        </is>
      </c>
    </row>
    <row r="211">
      <c r="A211" t="n">
        <v>209</v>
      </c>
      <c r="B211" t="inlineStr">
        <is>
          <t>двести девять</t>
        </is>
      </c>
      <c r="C211" t="inlineStr">
        <is>
          <t>рублей</t>
        </is>
      </c>
      <c r="D211" t="inlineStr">
        <is>
          <t>двести девять</t>
        </is>
      </c>
      <c r="E211" t="inlineStr">
        <is>
          <t>тысяч</t>
        </is>
      </c>
      <c r="F211" t="inlineStr">
        <is>
          <t>копеек</t>
        </is>
      </c>
    </row>
    <row r="212">
      <c r="A212" t="n">
        <v>210</v>
      </c>
      <c r="B212" t="inlineStr">
        <is>
          <t>двести десять</t>
        </is>
      </c>
      <c r="C212" t="inlineStr">
        <is>
          <t>рублей</t>
        </is>
      </c>
      <c r="D212" t="inlineStr">
        <is>
          <t>двести десять</t>
        </is>
      </c>
      <c r="E212" t="inlineStr">
        <is>
          <t>тысяч</t>
        </is>
      </c>
      <c r="F212" t="inlineStr">
        <is>
          <t>копеек</t>
        </is>
      </c>
    </row>
    <row r="213">
      <c r="A213" t="n">
        <v>211</v>
      </c>
      <c r="B213" t="inlineStr">
        <is>
          <t>двести одиннадцать</t>
        </is>
      </c>
      <c r="C213" t="inlineStr">
        <is>
          <t>рублей</t>
        </is>
      </c>
      <c r="D213" t="inlineStr">
        <is>
          <t>двести одиннадцать</t>
        </is>
      </c>
      <c r="E213" t="inlineStr">
        <is>
          <t>тысяч</t>
        </is>
      </c>
      <c r="F213" t="inlineStr">
        <is>
          <t>копеек</t>
        </is>
      </c>
    </row>
    <row r="214">
      <c r="A214" t="n">
        <v>212</v>
      </c>
      <c r="B214" t="inlineStr">
        <is>
          <t>двести двенадцать</t>
        </is>
      </c>
      <c r="C214" t="inlineStr">
        <is>
          <t>рублей</t>
        </is>
      </c>
      <c r="D214" t="inlineStr">
        <is>
          <t>двести двенадцать</t>
        </is>
      </c>
      <c r="E214" t="inlineStr">
        <is>
          <t>тысяч</t>
        </is>
      </c>
      <c r="F214" t="inlineStr">
        <is>
          <t>копеек</t>
        </is>
      </c>
    </row>
    <row r="215">
      <c r="A215" t="n">
        <v>213</v>
      </c>
      <c r="B215" t="inlineStr">
        <is>
          <t>двести тринадцать</t>
        </is>
      </c>
      <c r="C215" t="inlineStr">
        <is>
          <t>рублей</t>
        </is>
      </c>
      <c r="D215" t="inlineStr">
        <is>
          <t>двести тринадцать</t>
        </is>
      </c>
      <c r="E215" t="inlineStr">
        <is>
          <t>тысяч</t>
        </is>
      </c>
      <c r="F215" t="inlineStr">
        <is>
          <t>копеек</t>
        </is>
      </c>
    </row>
    <row r="216">
      <c r="A216" t="n">
        <v>214</v>
      </c>
      <c r="B216" t="inlineStr">
        <is>
          <t>двести четырнадцать</t>
        </is>
      </c>
      <c r="C216" t="inlineStr">
        <is>
          <t>рублей</t>
        </is>
      </c>
      <c r="D216" t="inlineStr">
        <is>
          <t>двести четырнадцать</t>
        </is>
      </c>
      <c r="E216" t="inlineStr">
        <is>
          <t>тысяч</t>
        </is>
      </c>
      <c r="F216" t="inlineStr">
        <is>
          <t>копеек</t>
        </is>
      </c>
    </row>
    <row r="217">
      <c r="A217" t="n">
        <v>215</v>
      </c>
      <c r="B217" t="inlineStr">
        <is>
          <t>двести пятнадцать</t>
        </is>
      </c>
      <c r="C217" t="inlineStr">
        <is>
          <t>рублей</t>
        </is>
      </c>
      <c r="D217" t="inlineStr">
        <is>
          <t>двести пятнадцать</t>
        </is>
      </c>
      <c r="E217" t="inlineStr">
        <is>
          <t>тысяч</t>
        </is>
      </c>
      <c r="F217" t="inlineStr">
        <is>
          <t>копеек</t>
        </is>
      </c>
    </row>
    <row r="218">
      <c r="A218" t="n">
        <v>216</v>
      </c>
      <c r="B218" t="inlineStr">
        <is>
          <t>двести шестнадцать</t>
        </is>
      </c>
      <c r="C218" t="inlineStr">
        <is>
          <t>рублей</t>
        </is>
      </c>
      <c r="D218" t="inlineStr">
        <is>
          <t>двести шестнадцать</t>
        </is>
      </c>
      <c r="E218" t="inlineStr">
        <is>
          <t>тысяч</t>
        </is>
      </c>
      <c r="F218" t="inlineStr">
        <is>
          <t>копеек</t>
        </is>
      </c>
    </row>
    <row r="219">
      <c r="A219" t="n">
        <v>217</v>
      </c>
      <c r="B219" t="inlineStr">
        <is>
          <t>двести семнадцать</t>
        </is>
      </c>
      <c r="C219" t="inlineStr">
        <is>
          <t>рублей</t>
        </is>
      </c>
      <c r="D219" t="inlineStr">
        <is>
          <t>двести семнадцать</t>
        </is>
      </c>
      <c r="E219" t="inlineStr">
        <is>
          <t>тысяч</t>
        </is>
      </c>
      <c r="F219" t="inlineStr">
        <is>
          <t>копеек</t>
        </is>
      </c>
    </row>
    <row r="220">
      <c r="A220" t="n">
        <v>218</v>
      </c>
      <c r="B220" t="inlineStr">
        <is>
          <t>двести восемнадцать</t>
        </is>
      </c>
      <c r="C220" t="inlineStr">
        <is>
          <t>рублей</t>
        </is>
      </c>
      <c r="D220" t="inlineStr">
        <is>
          <t>двести восемнадцать</t>
        </is>
      </c>
      <c r="E220" t="inlineStr">
        <is>
          <t>тысяч</t>
        </is>
      </c>
      <c r="F220" t="inlineStr">
        <is>
          <t>копеек</t>
        </is>
      </c>
    </row>
    <row r="221">
      <c r="A221" t="n">
        <v>219</v>
      </c>
      <c r="B221" t="inlineStr">
        <is>
          <t>двести девятнадцать</t>
        </is>
      </c>
      <c r="C221" t="inlineStr">
        <is>
          <t>рублей</t>
        </is>
      </c>
      <c r="D221" t="inlineStr">
        <is>
          <t>двести девятнадцать</t>
        </is>
      </c>
      <c r="E221" t="inlineStr">
        <is>
          <t>тысяч</t>
        </is>
      </c>
      <c r="F221" t="inlineStr">
        <is>
          <t>копеек</t>
        </is>
      </c>
    </row>
    <row r="222">
      <c r="A222" t="n">
        <v>220</v>
      </c>
      <c r="B222" t="inlineStr">
        <is>
          <t>двести двадцать</t>
        </is>
      </c>
      <c r="C222" t="inlineStr">
        <is>
          <t>рублей</t>
        </is>
      </c>
      <c r="D222" t="inlineStr">
        <is>
          <t>двести двадцать</t>
        </is>
      </c>
      <c r="E222" t="inlineStr">
        <is>
          <t>тысяч</t>
        </is>
      </c>
      <c r="F222" t="inlineStr">
        <is>
          <t>копеек</t>
        </is>
      </c>
    </row>
    <row r="223">
      <c r="A223" t="n">
        <v>221</v>
      </c>
      <c r="B223" t="inlineStr">
        <is>
          <t>двести двадцать один</t>
        </is>
      </c>
      <c r="C223" t="inlineStr">
        <is>
          <t>рубль</t>
        </is>
      </c>
      <c r="D223" t="inlineStr">
        <is>
          <t>двести двадцать одна</t>
        </is>
      </c>
      <c r="E223" t="inlineStr">
        <is>
          <t>тысяча</t>
        </is>
      </c>
      <c r="F223" t="inlineStr">
        <is>
          <t>копейка</t>
        </is>
      </c>
    </row>
    <row r="224">
      <c r="A224" t="n">
        <v>222</v>
      </c>
      <c r="B224" t="inlineStr">
        <is>
          <t>двести двадцать два</t>
        </is>
      </c>
      <c r="C224" t="inlineStr">
        <is>
          <t>рубля</t>
        </is>
      </c>
      <c r="D224" t="inlineStr">
        <is>
          <t>двести двадцать две</t>
        </is>
      </c>
      <c r="E224" t="inlineStr">
        <is>
          <t>тысячи</t>
        </is>
      </c>
      <c r="F224" t="inlineStr">
        <is>
          <t>копейки</t>
        </is>
      </c>
    </row>
    <row r="225">
      <c r="A225" t="n">
        <v>223</v>
      </c>
      <c r="B225" t="inlineStr">
        <is>
          <t>двести двадцать три</t>
        </is>
      </c>
      <c r="C225" t="inlineStr">
        <is>
          <t>рубля</t>
        </is>
      </c>
      <c r="D225" t="inlineStr">
        <is>
          <t>двести двадцать три</t>
        </is>
      </c>
      <c r="E225" t="inlineStr">
        <is>
          <t>тысячи</t>
        </is>
      </c>
      <c r="F225" t="inlineStr">
        <is>
          <t>копейки</t>
        </is>
      </c>
    </row>
    <row r="226">
      <c r="A226" t="n">
        <v>224</v>
      </c>
      <c r="B226" t="inlineStr">
        <is>
          <t>двести двадцать четыре</t>
        </is>
      </c>
      <c r="C226" t="inlineStr">
        <is>
          <t>рубля</t>
        </is>
      </c>
      <c r="D226" t="inlineStr">
        <is>
          <t>двести двадцать четыре</t>
        </is>
      </c>
      <c r="E226" t="inlineStr">
        <is>
          <t>тысячи</t>
        </is>
      </c>
      <c r="F226" t="inlineStr">
        <is>
          <t>копейки</t>
        </is>
      </c>
    </row>
    <row r="227">
      <c r="A227" t="n">
        <v>225</v>
      </c>
      <c r="B227" t="inlineStr">
        <is>
          <t>двести двадцать пять</t>
        </is>
      </c>
      <c r="C227" t="inlineStr">
        <is>
          <t>рублей</t>
        </is>
      </c>
      <c r="D227" t="inlineStr">
        <is>
          <t>двести двадцать пять</t>
        </is>
      </c>
      <c r="E227" t="inlineStr">
        <is>
          <t>тысяч</t>
        </is>
      </c>
      <c r="F227" t="inlineStr">
        <is>
          <t>копеек</t>
        </is>
      </c>
    </row>
    <row r="228">
      <c r="A228" t="n">
        <v>226</v>
      </c>
      <c r="B228" t="inlineStr">
        <is>
          <t>двести двадцать шесть</t>
        </is>
      </c>
      <c r="C228" t="inlineStr">
        <is>
          <t>рублей</t>
        </is>
      </c>
      <c r="D228" t="inlineStr">
        <is>
          <t>двести двадцать шесть</t>
        </is>
      </c>
      <c r="E228" t="inlineStr">
        <is>
          <t>тысяч</t>
        </is>
      </c>
      <c r="F228" t="inlineStr">
        <is>
          <t>копеек</t>
        </is>
      </c>
    </row>
    <row r="229">
      <c r="A229" t="n">
        <v>227</v>
      </c>
      <c r="B229" t="inlineStr">
        <is>
          <t>двести двадцать семь</t>
        </is>
      </c>
      <c r="C229" t="inlineStr">
        <is>
          <t>рублей</t>
        </is>
      </c>
      <c r="D229" t="inlineStr">
        <is>
          <t>двести двадцать семь</t>
        </is>
      </c>
      <c r="E229" t="inlineStr">
        <is>
          <t>тысяч</t>
        </is>
      </c>
      <c r="F229" t="inlineStr">
        <is>
          <t>копеек</t>
        </is>
      </c>
    </row>
    <row r="230">
      <c r="A230" t="n">
        <v>228</v>
      </c>
      <c r="B230" t="inlineStr">
        <is>
          <t>двести двадцать восемь</t>
        </is>
      </c>
      <c r="C230" t="inlineStr">
        <is>
          <t>рублей</t>
        </is>
      </c>
      <c r="D230" t="inlineStr">
        <is>
          <t>двести двадцать восемь</t>
        </is>
      </c>
      <c r="E230" t="inlineStr">
        <is>
          <t>тысяч</t>
        </is>
      </c>
      <c r="F230" t="inlineStr">
        <is>
          <t>копеек</t>
        </is>
      </c>
    </row>
    <row r="231">
      <c r="A231" t="n">
        <v>229</v>
      </c>
      <c r="B231" t="inlineStr">
        <is>
          <t>двести двадцать девять</t>
        </is>
      </c>
      <c r="C231" t="inlineStr">
        <is>
          <t>рублей</t>
        </is>
      </c>
      <c r="D231" t="inlineStr">
        <is>
          <t>двести двадцать девять</t>
        </is>
      </c>
      <c r="E231" t="inlineStr">
        <is>
          <t>тысяч</t>
        </is>
      </c>
      <c r="F231" t="inlineStr">
        <is>
          <t>копеек</t>
        </is>
      </c>
    </row>
    <row r="232">
      <c r="A232" t="n">
        <v>230</v>
      </c>
      <c r="B232" t="inlineStr">
        <is>
          <t>двести тридцать</t>
        </is>
      </c>
      <c r="C232" t="inlineStr">
        <is>
          <t>рублей</t>
        </is>
      </c>
      <c r="D232" t="inlineStr">
        <is>
          <t>двести тридцать</t>
        </is>
      </c>
      <c r="E232" t="inlineStr">
        <is>
          <t>тысяч</t>
        </is>
      </c>
      <c r="F232" t="inlineStr">
        <is>
          <t>копеек</t>
        </is>
      </c>
    </row>
    <row r="233">
      <c r="A233" t="n">
        <v>231</v>
      </c>
      <c r="B233" t="inlineStr">
        <is>
          <t>двести тридцать один</t>
        </is>
      </c>
      <c r="C233" t="inlineStr">
        <is>
          <t>рубль</t>
        </is>
      </c>
      <c r="D233" t="inlineStr">
        <is>
          <t>двести тридцать одна</t>
        </is>
      </c>
      <c r="E233" t="inlineStr">
        <is>
          <t>тысяча</t>
        </is>
      </c>
      <c r="F233" t="inlineStr">
        <is>
          <t>копейка</t>
        </is>
      </c>
    </row>
    <row r="234">
      <c r="A234" t="n">
        <v>232</v>
      </c>
      <c r="B234" t="inlineStr">
        <is>
          <t>двести тридцать два</t>
        </is>
      </c>
      <c r="C234" t="inlineStr">
        <is>
          <t>рубля</t>
        </is>
      </c>
      <c r="D234" t="inlineStr">
        <is>
          <t>двести тридцать две</t>
        </is>
      </c>
      <c r="E234" t="inlineStr">
        <is>
          <t>тысячи</t>
        </is>
      </c>
      <c r="F234" t="inlineStr">
        <is>
          <t>копейки</t>
        </is>
      </c>
    </row>
    <row r="235">
      <c r="A235" t="n">
        <v>233</v>
      </c>
      <c r="B235" t="inlineStr">
        <is>
          <t>двести тридцать три</t>
        </is>
      </c>
      <c r="C235" t="inlineStr">
        <is>
          <t>рубля</t>
        </is>
      </c>
      <c r="D235" t="inlineStr">
        <is>
          <t>двести тридцать три</t>
        </is>
      </c>
      <c r="E235" t="inlineStr">
        <is>
          <t>тысячи</t>
        </is>
      </c>
      <c r="F235" t="inlineStr">
        <is>
          <t>копейки</t>
        </is>
      </c>
    </row>
    <row r="236">
      <c r="A236" t="n">
        <v>234</v>
      </c>
      <c r="B236" t="inlineStr">
        <is>
          <t>двести тридцать четыре</t>
        </is>
      </c>
      <c r="C236" t="inlineStr">
        <is>
          <t>рубля</t>
        </is>
      </c>
      <c r="D236" t="inlineStr">
        <is>
          <t>двести тридцать четыре</t>
        </is>
      </c>
      <c r="E236" t="inlineStr">
        <is>
          <t>тысячи</t>
        </is>
      </c>
      <c r="F236" t="inlineStr">
        <is>
          <t>копейки</t>
        </is>
      </c>
    </row>
    <row r="237">
      <c r="A237" t="n">
        <v>235</v>
      </c>
      <c r="B237" t="inlineStr">
        <is>
          <t>двести тридцать пять</t>
        </is>
      </c>
      <c r="C237" t="inlineStr">
        <is>
          <t>рублей</t>
        </is>
      </c>
      <c r="D237" t="inlineStr">
        <is>
          <t>двести тридцать пять</t>
        </is>
      </c>
      <c r="E237" t="inlineStr">
        <is>
          <t>тысяч</t>
        </is>
      </c>
      <c r="F237" t="inlineStr">
        <is>
          <t>копеек</t>
        </is>
      </c>
    </row>
    <row r="238">
      <c r="A238" t="n">
        <v>236</v>
      </c>
      <c r="B238" t="inlineStr">
        <is>
          <t>двести тридцать шесть</t>
        </is>
      </c>
      <c r="C238" t="inlineStr">
        <is>
          <t>рублей</t>
        </is>
      </c>
      <c r="D238" t="inlineStr">
        <is>
          <t>двести тридцать шесть</t>
        </is>
      </c>
      <c r="E238" t="inlineStr">
        <is>
          <t>тысяч</t>
        </is>
      </c>
      <c r="F238" t="inlineStr">
        <is>
          <t>копеек</t>
        </is>
      </c>
    </row>
    <row r="239">
      <c r="A239" t="n">
        <v>237</v>
      </c>
      <c r="B239" t="inlineStr">
        <is>
          <t>двести тридцать семь</t>
        </is>
      </c>
      <c r="C239" t="inlineStr">
        <is>
          <t>рублей</t>
        </is>
      </c>
      <c r="D239" t="inlineStr">
        <is>
          <t>двести тридцать семь</t>
        </is>
      </c>
      <c r="E239" t="inlineStr">
        <is>
          <t>тысяч</t>
        </is>
      </c>
      <c r="F239" t="inlineStr">
        <is>
          <t>копеек</t>
        </is>
      </c>
    </row>
    <row r="240">
      <c r="A240" t="n">
        <v>238</v>
      </c>
      <c r="B240" t="inlineStr">
        <is>
          <t>двести тридцать восемь</t>
        </is>
      </c>
      <c r="C240" t="inlineStr">
        <is>
          <t>рублей</t>
        </is>
      </c>
      <c r="D240" t="inlineStr">
        <is>
          <t>двести тридцать восемь</t>
        </is>
      </c>
      <c r="E240" t="inlineStr">
        <is>
          <t>тысяч</t>
        </is>
      </c>
      <c r="F240" t="inlineStr">
        <is>
          <t>копеек</t>
        </is>
      </c>
    </row>
    <row r="241">
      <c r="A241" t="n">
        <v>239</v>
      </c>
      <c r="B241" t="inlineStr">
        <is>
          <t>двести тридцать девять</t>
        </is>
      </c>
      <c r="C241" t="inlineStr">
        <is>
          <t>рублей</t>
        </is>
      </c>
      <c r="D241" t="inlineStr">
        <is>
          <t>двести тридцать девять</t>
        </is>
      </c>
      <c r="E241" t="inlineStr">
        <is>
          <t>тысяч</t>
        </is>
      </c>
      <c r="F241" t="inlineStr">
        <is>
          <t>копеек</t>
        </is>
      </c>
    </row>
    <row r="242">
      <c r="A242" t="n">
        <v>240</v>
      </c>
      <c r="B242" t="inlineStr">
        <is>
          <t>двести сорок</t>
        </is>
      </c>
      <c r="C242" t="inlineStr">
        <is>
          <t>рублей</t>
        </is>
      </c>
      <c r="D242" t="inlineStr">
        <is>
          <t>двести сорок</t>
        </is>
      </c>
      <c r="E242" t="inlineStr">
        <is>
          <t>тысяч</t>
        </is>
      </c>
      <c r="F242" t="inlineStr">
        <is>
          <t>копеек</t>
        </is>
      </c>
    </row>
    <row r="243">
      <c r="A243" t="n">
        <v>241</v>
      </c>
      <c r="B243" t="inlineStr">
        <is>
          <t>двести сорок один</t>
        </is>
      </c>
      <c r="C243" t="inlineStr">
        <is>
          <t>рубль</t>
        </is>
      </c>
      <c r="D243" t="inlineStr">
        <is>
          <t>двести сорок одна</t>
        </is>
      </c>
      <c r="E243" t="inlineStr">
        <is>
          <t>тысяча</t>
        </is>
      </c>
      <c r="F243" t="inlineStr">
        <is>
          <t>копейка</t>
        </is>
      </c>
    </row>
    <row r="244">
      <c r="A244" t="n">
        <v>242</v>
      </c>
      <c r="B244" t="inlineStr">
        <is>
          <t>двести сорок два</t>
        </is>
      </c>
      <c r="C244" t="inlineStr">
        <is>
          <t>рубля</t>
        </is>
      </c>
      <c r="D244" t="inlineStr">
        <is>
          <t>двести сорок две</t>
        </is>
      </c>
      <c r="E244" t="inlineStr">
        <is>
          <t>тысячи</t>
        </is>
      </c>
      <c r="F244" t="inlineStr">
        <is>
          <t>копейки</t>
        </is>
      </c>
    </row>
    <row r="245">
      <c r="A245" t="n">
        <v>243</v>
      </c>
      <c r="B245" t="inlineStr">
        <is>
          <t>двести сорок три</t>
        </is>
      </c>
      <c r="C245" t="inlineStr">
        <is>
          <t>рубля</t>
        </is>
      </c>
      <c r="D245" t="inlineStr">
        <is>
          <t>двести сорок три</t>
        </is>
      </c>
      <c r="E245" t="inlineStr">
        <is>
          <t>тысячи</t>
        </is>
      </c>
      <c r="F245" t="inlineStr">
        <is>
          <t>копейки</t>
        </is>
      </c>
    </row>
    <row r="246">
      <c r="A246" t="n">
        <v>244</v>
      </c>
      <c r="B246" t="inlineStr">
        <is>
          <t>двести сорок четыре</t>
        </is>
      </c>
      <c r="C246" t="inlineStr">
        <is>
          <t>рубля</t>
        </is>
      </c>
      <c r="D246" t="inlineStr">
        <is>
          <t>двести сорок четыре</t>
        </is>
      </c>
      <c r="E246" t="inlineStr">
        <is>
          <t>тысячи</t>
        </is>
      </c>
      <c r="F246" t="inlineStr">
        <is>
          <t>копейки</t>
        </is>
      </c>
    </row>
    <row r="247">
      <c r="A247" t="n">
        <v>245</v>
      </c>
      <c r="B247" t="inlineStr">
        <is>
          <t>двести сорок пять</t>
        </is>
      </c>
      <c r="C247" t="inlineStr">
        <is>
          <t>рублей</t>
        </is>
      </c>
      <c r="D247" t="inlineStr">
        <is>
          <t>двести сорок пять</t>
        </is>
      </c>
      <c r="E247" t="inlineStr">
        <is>
          <t>тысяч</t>
        </is>
      </c>
      <c r="F247" t="inlineStr">
        <is>
          <t>копеек</t>
        </is>
      </c>
    </row>
    <row r="248">
      <c r="A248" t="n">
        <v>246</v>
      </c>
      <c r="B248" t="inlineStr">
        <is>
          <t>двести сорок шесть</t>
        </is>
      </c>
      <c r="C248" t="inlineStr">
        <is>
          <t>рублей</t>
        </is>
      </c>
      <c r="D248" t="inlineStr">
        <is>
          <t>двести сорок шесть</t>
        </is>
      </c>
      <c r="E248" t="inlineStr">
        <is>
          <t>тысяч</t>
        </is>
      </c>
      <c r="F248" t="inlineStr">
        <is>
          <t>копеек</t>
        </is>
      </c>
    </row>
    <row r="249">
      <c r="A249" t="n">
        <v>247</v>
      </c>
      <c r="B249" t="inlineStr">
        <is>
          <t>двести сорок семь</t>
        </is>
      </c>
      <c r="C249" t="inlineStr">
        <is>
          <t>рублей</t>
        </is>
      </c>
      <c r="D249" t="inlineStr">
        <is>
          <t>двести сорок семь</t>
        </is>
      </c>
      <c r="E249" t="inlineStr">
        <is>
          <t>тысяч</t>
        </is>
      </c>
      <c r="F249" t="inlineStr">
        <is>
          <t>копеек</t>
        </is>
      </c>
    </row>
    <row r="250">
      <c r="A250" t="n">
        <v>248</v>
      </c>
      <c r="B250" t="inlineStr">
        <is>
          <t>двести сорок восемь</t>
        </is>
      </c>
      <c r="C250" t="inlineStr">
        <is>
          <t>рублей</t>
        </is>
      </c>
      <c r="D250" t="inlineStr">
        <is>
          <t>двести сорок восемь</t>
        </is>
      </c>
      <c r="E250" t="inlineStr">
        <is>
          <t>тысяч</t>
        </is>
      </c>
      <c r="F250" t="inlineStr">
        <is>
          <t>копеек</t>
        </is>
      </c>
    </row>
    <row r="251">
      <c r="A251" t="n">
        <v>249</v>
      </c>
      <c r="B251" t="inlineStr">
        <is>
          <t>двести сорок девять</t>
        </is>
      </c>
      <c r="C251" t="inlineStr">
        <is>
          <t>рублей</t>
        </is>
      </c>
      <c r="D251" t="inlineStr">
        <is>
          <t>двести сорок девять</t>
        </is>
      </c>
      <c r="E251" t="inlineStr">
        <is>
          <t>тысяч</t>
        </is>
      </c>
      <c r="F251" t="inlineStr">
        <is>
          <t>копеек</t>
        </is>
      </c>
    </row>
    <row r="252">
      <c r="A252" t="n">
        <v>250</v>
      </c>
      <c r="B252" t="inlineStr">
        <is>
          <t>двести пятьдесят</t>
        </is>
      </c>
      <c r="C252" t="inlineStr">
        <is>
          <t>рублей</t>
        </is>
      </c>
      <c r="D252" t="inlineStr">
        <is>
          <t>двести пятьдесят</t>
        </is>
      </c>
      <c r="E252" t="inlineStr">
        <is>
          <t>тысяч</t>
        </is>
      </c>
      <c r="F252" t="inlineStr">
        <is>
          <t>копеек</t>
        </is>
      </c>
    </row>
    <row r="253">
      <c r="A253" t="n">
        <v>251</v>
      </c>
      <c r="B253" t="inlineStr">
        <is>
          <t>двести пятьдесят один</t>
        </is>
      </c>
      <c r="C253" t="inlineStr">
        <is>
          <t>рубль</t>
        </is>
      </c>
      <c r="D253" t="inlineStr">
        <is>
          <t>двести пятьдесят одна</t>
        </is>
      </c>
      <c r="E253" t="inlineStr">
        <is>
          <t>тысяча</t>
        </is>
      </c>
      <c r="F253" t="inlineStr">
        <is>
          <t>копейка</t>
        </is>
      </c>
    </row>
    <row r="254">
      <c r="A254" t="n">
        <v>252</v>
      </c>
      <c r="B254" t="inlineStr">
        <is>
          <t>двести пятьдесят два</t>
        </is>
      </c>
      <c r="C254" t="inlineStr">
        <is>
          <t>рубля</t>
        </is>
      </c>
      <c r="D254" t="inlineStr">
        <is>
          <t>двести пятьдесят две</t>
        </is>
      </c>
      <c r="E254" t="inlineStr">
        <is>
          <t>тысячи</t>
        </is>
      </c>
      <c r="F254" t="inlineStr">
        <is>
          <t>копейки</t>
        </is>
      </c>
    </row>
    <row r="255">
      <c r="A255" t="n">
        <v>253</v>
      </c>
      <c r="B255" t="inlineStr">
        <is>
          <t>двести пятьдесят три</t>
        </is>
      </c>
      <c r="C255" t="inlineStr">
        <is>
          <t>рубля</t>
        </is>
      </c>
      <c r="D255" t="inlineStr">
        <is>
          <t>двести пятьдесят три</t>
        </is>
      </c>
      <c r="E255" t="inlineStr">
        <is>
          <t>тысячи</t>
        </is>
      </c>
      <c r="F255" t="inlineStr">
        <is>
          <t>копейки</t>
        </is>
      </c>
    </row>
    <row r="256">
      <c r="A256" t="n">
        <v>254</v>
      </c>
      <c r="B256" t="inlineStr">
        <is>
          <t>двести пятьдесят четыре</t>
        </is>
      </c>
      <c r="C256" t="inlineStr">
        <is>
          <t>рубля</t>
        </is>
      </c>
      <c r="D256" t="inlineStr">
        <is>
          <t>двести пятьдесят четыре</t>
        </is>
      </c>
      <c r="E256" t="inlineStr">
        <is>
          <t>тысячи</t>
        </is>
      </c>
      <c r="F256" t="inlineStr">
        <is>
          <t>копейки</t>
        </is>
      </c>
    </row>
    <row r="257">
      <c r="A257" t="n">
        <v>255</v>
      </c>
      <c r="B257" t="inlineStr">
        <is>
          <t>двести пятьдесят пять</t>
        </is>
      </c>
      <c r="C257" t="inlineStr">
        <is>
          <t>рублей</t>
        </is>
      </c>
      <c r="D257" t="inlineStr">
        <is>
          <t>двести пятьдесят пять</t>
        </is>
      </c>
      <c r="E257" t="inlineStr">
        <is>
          <t>тысяч</t>
        </is>
      </c>
      <c r="F257" t="inlineStr">
        <is>
          <t>копеек</t>
        </is>
      </c>
    </row>
    <row r="258">
      <c r="A258" t="n">
        <v>256</v>
      </c>
      <c r="B258" t="inlineStr">
        <is>
          <t>двести пятьдесят шесть</t>
        </is>
      </c>
      <c r="C258" t="inlineStr">
        <is>
          <t>рублей</t>
        </is>
      </c>
      <c r="D258" t="inlineStr">
        <is>
          <t>двести пятьдесят шесть</t>
        </is>
      </c>
      <c r="E258" t="inlineStr">
        <is>
          <t>тысяч</t>
        </is>
      </c>
      <c r="F258" t="inlineStr">
        <is>
          <t>копеек</t>
        </is>
      </c>
    </row>
    <row r="259">
      <c r="A259" t="n">
        <v>257</v>
      </c>
      <c r="B259" t="inlineStr">
        <is>
          <t>двести пятьдесят семь</t>
        </is>
      </c>
      <c r="C259" t="inlineStr">
        <is>
          <t>рублей</t>
        </is>
      </c>
      <c r="D259" t="inlineStr">
        <is>
          <t>двести пятьдесят семь</t>
        </is>
      </c>
      <c r="E259" t="inlineStr">
        <is>
          <t>тысяч</t>
        </is>
      </c>
      <c r="F259" t="inlineStr">
        <is>
          <t>копеек</t>
        </is>
      </c>
    </row>
    <row r="260">
      <c r="A260" t="n">
        <v>258</v>
      </c>
      <c r="B260" t="inlineStr">
        <is>
          <t>двести пятьдесят восемь</t>
        </is>
      </c>
      <c r="C260" t="inlineStr">
        <is>
          <t>рублей</t>
        </is>
      </c>
      <c r="D260" t="inlineStr">
        <is>
          <t>двести пятьдесят восемь</t>
        </is>
      </c>
      <c r="E260" t="inlineStr">
        <is>
          <t>тысяч</t>
        </is>
      </c>
      <c r="F260" t="inlineStr">
        <is>
          <t>копеек</t>
        </is>
      </c>
    </row>
    <row r="261">
      <c r="A261" t="n">
        <v>259</v>
      </c>
      <c r="B261" t="inlineStr">
        <is>
          <t>двести пятьдесят девять</t>
        </is>
      </c>
      <c r="C261" t="inlineStr">
        <is>
          <t>рублей</t>
        </is>
      </c>
      <c r="D261" t="inlineStr">
        <is>
          <t>двести пятьдесят девять</t>
        </is>
      </c>
      <c r="E261" t="inlineStr">
        <is>
          <t>тысяч</t>
        </is>
      </c>
      <c r="F261" t="inlineStr">
        <is>
          <t>копеек</t>
        </is>
      </c>
    </row>
    <row r="262">
      <c r="A262" t="n">
        <v>260</v>
      </c>
      <c r="B262" t="inlineStr">
        <is>
          <t>двести шестьдесят</t>
        </is>
      </c>
      <c r="C262" t="inlineStr">
        <is>
          <t>рублей</t>
        </is>
      </c>
      <c r="D262" t="inlineStr">
        <is>
          <t>двести шестьдесят</t>
        </is>
      </c>
      <c r="E262" t="inlineStr">
        <is>
          <t>тысяч</t>
        </is>
      </c>
      <c r="F262" t="inlineStr">
        <is>
          <t>копеек</t>
        </is>
      </c>
    </row>
    <row r="263">
      <c r="A263" t="n">
        <v>261</v>
      </c>
      <c r="B263" t="inlineStr">
        <is>
          <t>двести шестьдесят один</t>
        </is>
      </c>
      <c r="C263" t="inlineStr">
        <is>
          <t>рубль</t>
        </is>
      </c>
      <c r="D263" t="inlineStr">
        <is>
          <t>двести шестьдесят одна</t>
        </is>
      </c>
      <c r="E263" t="inlineStr">
        <is>
          <t>тысяча</t>
        </is>
      </c>
      <c r="F263" t="inlineStr">
        <is>
          <t>копейка</t>
        </is>
      </c>
    </row>
    <row r="264">
      <c r="A264" t="n">
        <v>262</v>
      </c>
      <c r="B264" t="inlineStr">
        <is>
          <t>двести шестьдесят два</t>
        </is>
      </c>
      <c r="C264" t="inlineStr">
        <is>
          <t>рубля</t>
        </is>
      </c>
      <c r="D264" t="inlineStr">
        <is>
          <t>двести шестьдесят две</t>
        </is>
      </c>
      <c r="E264" t="inlineStr">
        <is>
          <t>тысячи</t>
        </is>
      </c>
      <c r="F264" t="inlineStr">
        <is>
          <t>копейки</t>
        </is>
      </c>
    </row>
    <row r="265">
      <c r="A265" t="n">
        <v>263</v>
      </c>
      <c r="B265" t="inlineStr">
        <is>
          <t>двести шестьдесят три</t>
        </is>
      </c>
      <c r="C265" t="inlineStr">
        <is>
          <t>рубля</t>
        </is>
      </c>
      <c r="D265" t="inlineStr">
        <is>
          <t>двести шестьдесят три</t>
        </is>
      </c>
      <c r="E265" t="inlineStr">
        <is>
          <t>тысячи</t>
        </is>
      </c>
      <c r="F265" t="inlineStr">
        <is>
          <t>копейки</t>
        </is>
      </c>
    </row>
    <row r="266">
      <c r="A266" t="n">
        <v>264</v>
      </c>
      <c r="B266" t="inlineStr">
        <is>
          <t>двести шестьдесят четыре</t>
        </is>
      </c>
      <c r="C266" t="inlineStr">
        <is>
          <t>рубля</t>
        </is>
      </c>
      <c r="D266" t="inlineStr">
        <is>
          <t>двести шестьдесят четыре</t>
        </is>
      </c>
      <c r="E266" t="inlineStr">
        <is>
          <t>тысячи</t>
        </is>
      </c>
      <c r="F266" t="inlineStr">
        <is>
          <t>копейки</t>
        </is>
      </c>
    </row>
    <row r="267">
      <c r="A267" t="n">
        <v>265</v>
      </c>
      <c r="B267" t="inlineStr">
        <is>
          <t>двести шестьдесят пять</t>
        </is>
      </c>
      <c r="C267" t="inlineStr">
        <is>
          <t>рублей</t>
        </is>
      </c>
      <c r="D267" t="inlineStr">
        <is>
          <t>двести шестьдесят пять</t>
        </is>
      </c>
      <c r="E267" t="inlineStr">
        <is>
          <t>тысяч</t>
        </is>
      </c>
      <c r="F267" t="inlineStr">
        <is>
          <t>копеек</t>
        </is>
      </c>
    </row>
    <row r="268">
      <c r="A268" t="n">
        <v>266</v>
      </c>
      <c r="B268" t="inlineStr">
        <is>
          <t>двести шестьдесят шесть</t>
        </is>
      </c>
      <c r="C268" t="inlineStr">
        <is>
          <t>рублей</t>
        </is>
      </c>
      <c r="D268" t="inlineStr">
        <is>
          <t>двести шестьдесят шесть</t>
        </is>
      </c>
      <c r="E268" t="inlineStr">
        <is>
          <t>тысяч</t>
        </is>
      </c>
      <c r="F268" t="inlineStr">
        <is>
          <t>копеек</t>
        </is>
      </c>
    </row>
    <row r="269">
      <c r="A269" t="n">
        <v>267</v>
      </c>
      <c r="B269" t="inlineStr">
        <is>
          <t>двести шестьдесят семь</t>
        </is>
      </c>
      <c r="C269" t="inlineStr">
        <is>
          <t>рублей</t>
        </is>
      </c>
      <c r="D269" t="inlineStr">
        <is>
          <t>двести шестьдесят семь</t>
        </is>
      </c>
      <c r="E269" t="inlineStr">
        <is>
          <t>тысяч</t>
        </is>
      </c>
      <c r="F269" t="inlineStr">
        <is>
          <t>копеек</t>
        </is>
      </c>
    </row>
    <row r="270">
      <c r="A270" t="n">
        <v>268</v>
      </c>
      <c r="B270" t="inlineStr">
        <is>
          <t>двести шестьдесят восемь</t>
        </is>
      </c>
      <c r="C270" t="inlineStr">
        <is>
          <t>рублей</t>
        </is>
      </c>
      <c r="D270" t="inlineStr">
        <is>
          <t>двести шестьдесят восемь</t>
        </is>
      </c>
      <c r="E270" t="inlineStr">
        <is>
          <t>тысяч</t>
        </is>
      </c>
      <c r="F270" t="inlineStr">
        <is>
          <t>копеек</t>
        </is>
      </c>
    </row>
    <row r="271">
      <c r="A271" t="n">
        <v>269</v>
      </c>
      <c r="B271" t="inlineStr">
        <is>
          <t>двести шестьдесят девять</t>
        </is>
      </c>
      <c r="C271" t="inlineStr">
        <is>
          <t>рублей</t>
        </is>
      </c>
      <c r="D271" t="inlineStr">
        <is>
          <t>двести шестьдесят девять</t>
        </is>
      </c>
      <c r="E271" t="inlineStr">
        <is>
          <t>тысяч</t>
        </is>
      </c>
      <c r="F271" t="inlineStr">
        <is>
          <t>копеек</t>
        </is>
      </c>
    </row>
    <row r="272">
      <c r="A272" t="n">
        <v>270</v>
      </c>
      <c r="B272" t="inlineStr">
        <is>
          <t>двести семьдесят</t>
        </is>
      </c>
      <c r="C272" t="inlineStr">
        <is>
          <t>рублей</t>
        </is>
      </c>
      <c r="D272" t="inlineStr">
        <is>
          <t>двести семьдесят</t>
        </is>
      </c>
      <c r="E272" t="inlineStr">
        <is>
          <t>тысяч</t>
        </is>
      </c>
      <c r="F272" t="inlineStr">
        <is>
          <t>копеек</t>
        </is>
      </c>
    </row>
    <row r="273">
      <c r="A273" t="n">
        <v>271</v>
      </c>
      <c r="B273" t="inlineStr">
        <is>
          <t>двести семьдесят один</t>
        </is>
      </c>
      <c r="C273" t="inlineStr">
        <is>
          <t>рубль</t>
        </is>
      </c>
      <c r="D273" t="inlineStr">
        <is>
          <t>двести семьдесят одна</t>
        </is>
      </c>
      <c r="E273" t="inlineStr">
        <is>
          <t>тысяча</t>
        </is>
      </c>
      <c r="F273" t="inlineStr">
        <is>
          <t>копейка</t>
        </is>
      </c>
    </row>
    <row r="274">
      <c r="A274" t="n">
        <v>272</v>
      </c>
      <c r="B274" t="inlineStr">
        <is>
          <t>двести семьдесят два</t>
        </is>
      </c>
      <c r="C274" t="inlineStr">
        <is>
          <t>рубля</t>
        </is>
      </c>
      <c r="D274" t="inlineStr">
        <is>
          <t>двести семьдесят две</t>
        </is>
      </c>
      <c r="E274" t="inlineStr">
        <is>
          <t>тысячи</t>
        </is>
      </c>
      <c r="F274" t="inlineStr">
        <is>
          <t>копейки</t>
        </is>
      </c>
    </row>
    <row r="275">
      <c r="A275" t="n">
        <v>273</v>
      </c>
      <c r="B275" t="inlineStr">
        <is>
          <t>двести семьдесят три</t>
        </is>
      </c>
      <c r="C275" t="inlineStr">
        <is>
          <t>рубля</t>
        </is>
      </c>
      <c r="D275" t="inlineStr">
        <is>
          <t>двести семьдесят три</t>
        </is>
      </c>
      <c r="E275" t="inlineStr">
        <is>
          <t>тысячи</t>
        </is>
      </c>
      <c r="F275" t="inlineStr">
        <is>
          <t>копейки</t>
        </is>
      </c>
    </row>
    <row r="276">
      <c r="A276" t="n">
        <v>274</v>
      </c>
      <c r="B276" t="inlineStr">
        <is>
          <t>двести семьдесят четыре</t>
        </is>
      </c>
      <c r="C276" t="inlineStr">
        <is>
          <t>рубля</t>
        </is>
      </c>
      <c r="D276" t="inlineStr">
        <is>
          <t>двести семьдесят четыре</t>
        </is>
      </c>
      <c r="E276" t="inlineStr">
        <is>
          <t>тысячи</t>
        </is>
      </c>
      <c r="F276" t="inlineStr">
        <is>
          <t>копейки</t>
        </is>
      </c>
    </row>
    <row r="277">
      <c r="A277" t="n">
        <v>275</v>
      </c>
      <c r="B277" t="inlineStr">
        <is>
          <t>двести семьдесят пять</t>
        </is>
      </c>
      <c r="C277" t="inlineStr">
        <is>
          <t>рублей</t>
        </is>
      </c>
      <c r="D277" t="inlineStr">
        <is>
          <t>двести семьдесят пять</t>
        </is>
      </c>
      <c r="E277" t="inlineStr">
        <is>
          <t>тысяч</t>
        </is>
      </c>
      <c r="F277" t="inlineStr">
        <is>
          <t>копеек</t>
        </is>
      </c>
    </row>
    <row r="278">
      <c r="A278" t="n">
        <v>276</v>
      </c>
      <c r="B278" t="inlineStr">
        <is>
          <t>двести семьдесят шесть</t>
        </is>
      </c>
      <c r="C278" t="inlineStr">
        <is>
          <t>рублей</t>
        </is>
      </c>
      <c r="D278" t="inlineStr">
        <is>
          <t>двести семьдесят шесть</t>
        </is>
      </c>
      <c r="E278" t="inlineStr">
        <is>
          <t>тысяч</t>
        </is>
      </c>
      <c r="F278" t="inlineStr">
        <is>
          <t>копеек</t>
        </is>
      </c>
    </row>
    <row r="279">
      <c r="A279" t="n">
        <v>277</v>
      </c>
      <c r="B279" t="inlineStr">
        <is>
          <t>двести семьдесят семь</t>
        </is>
      </c>
      <c r="C279" t="inlineStr">
        <is>
          <t>рублей</t>
        </is>
      </c>
      <c r="D279" t="inlineStr">
        <is>
          <t>двести семьдесят семь</t>
        </is>
      </c>
      <c r="E279" t="inlineStr">
        <is>
          <t>тысяч</t>
        </is>
      </c>
      <c r="F279" t="inlineStr">
        <is>
          <t>копеек</t>
        </is>
      </c>
    </row>
    <row r="280">
      <c r="A280" t="n">
        <v>278</v>
      </c>
      <c r="B280" t="inlineStr">
        <is>
          <t>двести семьдесят восемь</t>
        </is>
      </c>
      <c r="C280" t="inlineStr">
        <is>
          <t>рублей</t>
        </is>
      </c>
      <c r="D280" t="inlineStr">
        <is>
          <t>двести семьдесят восемь</t>
        </is>
      </c>
      <c r="E280" t="inlineStr">
        <is>
          <t>тысяч</t>
        </is>
      </c>
      <c r="F280" t="inlineStr">
        <is>
          <t>копеек</t>
        </is>
      </c>
    </row>
    <row r="281">
      <c r="A281" t="n">
        <v>279</v>
      </c>
      <c r="B281" t="inlineStr">
        <is>
          <t>двести семьдесят девять</t>
        </is>
      </c>
      <c r="C281" t="inlineStr">
        <is>
          <t>рублей</t>
        </is>
      </c>
      <c r="D281" t="inlineStr">
        <is>
          <t>двести семьдесят девять</t>
        </is>
      </c>
      <c r="E281" t="inlineStr">
        <is>
          <t>тысяч</t>
        </is>
      </c>
      <c r="F281" t="inlineStr">
        <is>
          <t>копеек</t>
        </is>
      </c>
    </row>
    <row r="282">
      <c r="A282" t="n">
        <v>280</v>
      </c>
      <c r="B282" t="inlineStr">
        <is>
          <t>двести восемьдесят</t>
        </is>
      </c>
      <c r="C282" t="inlineStr">
        <is>
          <t>рублей</t>
        </is>
      </c>
      <c r="D282" t="inlineStr">
        <is>
          <t>двести восемьдесят</t>
        </is>
      </c>
      <c r="E282" t="inlineStr">
        <is>
          <t>тысяч</t>
        </is>
      </c>
      <c r="F282" t="inlineStr">
        <is>
          <t>копеек</t>
        </is>
      </c>
    </row>
    <row r="283">
      <c r="A283" t="n">
        <v>281</v>
      </c>
      <c r="B283" t="inlineStr">
        <is>
          <t>двести восемьдесят один</t>
        </is>
      </c>
      <c r="C283" t="inlineStr">
        <is>
          <t>рубль</t>
        </is>
      </c>
      <c r="D283" t="inlineStr">
        <is>
          <t>двести восемьдесят одна</t>
        </is>
      </c>
      <c r="E283" t="inlineStr">
        <is>
          <t>тысяча</t>
        </is>
      </c>
      <c r="F283" t="inlineStr">
        <is>
          <t>копейка</t>
        </is>
      </c>
    </row>
    <row r="284">
      <c r="A284" t="n">
        <v>282</v>
      </c>
      <c r="B284" t="inlineStr">
        <is>
          <t>двести восемьдесят два</t>
        </is>
      </c>
      <c r="C284" t="inlineStr">
        <is>
          <t>рубля</t>
        </is>
      </c>
      <c r="D284" t="inlineStr">
        <is>
          <t>двести восемьдесят две</t>
        </is>
      </c>
      <c r="E284" t="inlineStr">
        <is>
          <t>тысячи</t>
        </is>
      </c>
      <c r="F284" t="inlineStr">
        <is>
          <t>копейки</t>
        </is>
      </c>
    </row>
    <row r="285">
      <c r="A285" t="n">
        <v>283</v>
      </c>
      <c r="B285" t="inlineStr">
        <is>
          <t>двести восемьдесят три</t>
        </is>
      </c>
      <c r="C285" t="inlineStr">
        <is>
          <t>рубля</t>
        </is>
      </c>
      <c r="D285" t="inlineStr">
        <is>
          <t>двести восемьдесят три</t>
        </is>
      </c>
      <c r="E285" t="inlineStr">
        <is>
          <t>тысячи</t>
        </is>
      </c>
      <c r="F285" t="inlineStr">
        <is>
          <t>копейки</t>
        </is>
      </c>
    </row>
    <row r="286">
      <c r="A286" t="n">
        <v>284</v>
      </c>
      <c r="B286" t="inlineStr">
        <is>
          <t>двести восемьдесят четыре</t>
        </is>
      </c>
      <c r="C286" t="inlineStr">
        <is>
          <t>рубля</t>
        </is>
      </c>
      <c r="D286" t="inlineStr">
        <is>
          <t>двести восемьдесят четыре</t>
        </is>
      </c>
      <c r="E286" t="inlineStr">
        <is>
          <t>тысячи</t>
        </is>
      </c>
      <c r="F286" t="inlineStr">
        <is>
          <t>копейки</t>
        </is>
      </c>
    </row>
    <row r="287">
      <c r="A287" t="n">
        <v>285</v>
      </c>
      <c r="B287" t="inlineStr">
        <is>
          <t>двести восемьдесят пять</t>
        </is>
      </c>
      <c r="C287" t="inlineStr">
        <is>
          <t>рублей</t>
        </is>
      </c>
      <c r="D287" t="inlineStr">
        <is>
          <t>двести восемьдесят пять</t>
        </is>
      </c>
      <c r="E287" t="inlineStr">
        <is>
          <t>тысяч</t>
        </is>
      </c>
      <c r="F287" t="inlineStr">
        <is>
          <t>копеек</t>
        </is>
      </c>
    </row>
    <row r="288">
      <c r="A288" t="n">
        <v>286</v>
      </c>
      <c r="B288" t="inlineStr">
        <is>
          <t>двести восемьдесят шесть</t>
        </is>
      </c>
      <c r="C288" t="inlineStr">
        <is>
          <t>рублей</t>
        </is>
      </c>
      <c r="D288" t="inlineStr">
        <is>
          <t>двести восемьдесят шесть</t>
        </is>
      </c>
      <c r="E288" t="inlineStr">
        <is>
          <t>тысяч</t>
        </is>
      </c>
      <c r="F288" t="inlineStr">
        <is>
          <t>копеек</t>
        </is>
      </c>
    </row>
    <row r="289">
      <c r="A289" t="n">
        <v>287</v>
      </c>
      <c r="B289" t="inlineStr">
        <is>
          <t>двести восемьдесят семь</t>
        </is>
      </c>
      <c r="C289" t="inlineStr">
        <is>
          <t>рублей</t>
        </is>
      </c>
      <c r="D289" t="inlineStr">
        <is>
          <t>двести восемьдесят семь</t>
        </is>
      </c>
      <c r="E289" t="inlineStr">
        <is>
          <t>тысяч</t>
        </is>
      </c>
      <c r="F289" t="inlineStr">
        <is>
          <t>копеек</t>
        </is>
      </c>
    </row>
    <row r="290">
      <c r="A290" t="n">
        <v>288</v>
      </c>
      <c r="B290" t="inlineStr">
        <is>
          <t>двести восемьдесят восемь</t>
        </is>
      </c>
      <c r="C290" t="inlineStr">
        <is>
          <t>рублей</t>
        </is>
      </c>
      <c r="D290" t="inlineStr">
        <is>
          <t>двести восемьдесят восемь</t>
        </is>
      </c>
      <c r="E290" t="inlineStr">
        <is>
          <t>тысяч</t>
        </is>
      </c>
      <c r="F290" t="inlineStr">
        <is>
          <t>копеек</t>
        </is>
      </c>
    </row>
    <row r="291">
      <c r="A291" t="n">
        <v>289</v>
      </c>
      <c r="B291" t="inlineStr">
        <is>
          <t>двести восемьдесят девять</t>
        </is>
      </c>
      <c r="C291" t="inlineStr">
        <is>
          <t>рублей</t>
        </is>
      </c>
      <c r="D291" t="inlineStr">
        <is>
          <t>двести восемьдесят девять</t>
        </is>
      </c>
      <c r="E291" t="inlineStr">
        <is>
          <t>тысяч</t>
        </is>
      </c>
      <c r="F291" t="inlineStr">
        <is>
          <t>копеек</t>
        </is>
      </c>
    </row>
    <row r="292">
      <c r="A292" t="n">
        <v>290</v>
      </c>
      <c r="B292" t="inlineStr">
        <is>
          <t>двести девяносто</t>
        </is>
      </c>
      <c r="C292" t="inlineStr">
        <is>
          <t>рублей</t>
        </is>
      </c>
      <c r="D292" t="inlineStr">
        <is>
          <t>двести девяносто</t>
        </is>
      </c>
      <c r="E292" t="inlineStr">
        <is>
          <t>тысяч</t>
        </is>
      </c>
      <c r="F292" t="inlineStr">
        <is>
          <t>копеек</t>
        </is>
      </c>
    </row>
    <row r="293">
      <c r="A293" t="n">
        <v>291</v>
      </c>
      <c r="B293" t="inlineStr">
        <is>
          <t>двести девяносто один</t>
        </is>
      </c>
      <c r="C293" t="inlineStr">
        <is>
          <t>рубль</t>
        </is>
      </c>
      <c r="D293" t="inlineStr">
        <is>
          <t>двести девяносто одна</t>
        </is>
      </c>
      <c r="E293" t="inlineStr">
        <is>
          <t>тысяча</t>
        </is>
      </c>
      <c r="F293" t="inlineStr">
        <is>
          <t>копейка</t>
        </is>
      </c>
    </row>
    <row r="294">
      <c r="A294" t="n">
        <v>292</v>
      </c>
      <c r="B294" t="inlineStr">
        <is>
          <t>двести девяносто два</t>
        </is>
      </c>
      <c r="C294" t="inlineStr">
        <is>
          <t>рубля</t>
        </is>
      </c>
      <c r="D294" t="inlineStr">
        <is>
          <t>двести девяносто две</t>
        </is>
      </c>
      <c r="E294" t="inlineStr">
        <is>
          <t>тысячи</t>
        </is>
      </c>
      <c r="F294" t="inlineStr">
        <is>
          <t>копейки</t>
        </is>
      </c>
    </row>
    <row r="295">
      <c r="A295" t="n">
        <v>293</v>
      </c>
      <c r="B295" t="inlineStr">
        <is>
          <t>двести девяносто три</t>
        </is>
      </c>
      <c r="C295" t="inlineStr">
        <is>
          <t>рубля</t>
        </is>
      </c>
      <c r="D295" t="inlineStr">
        <is>
          <t>двести девяносто три</t>
        </is>
      </c>
      <c r="E295" t="inlineStr">
        <is>
          <t>тысячи</t>
        </is>
      </c>
      <c r="F295" t="inlineStr">
        <is>
          <t>копейки</t>
        </is>
      </c>
    </row>
    <row r="296">
      <c r="A296" t="n">
        <v>294</v>
      </c>
      <c r="B296" t="inlineStr">
        <is>
          <t>двести девяносто четыре</t>
        </is>
      </c>
      <c r="C296" t="inlineStr">
        <is>
          <t>рубля</t>
        </is>
      </c>
      <c r="D296" t="inlineStr">
        <is>
          <t>двести девяносто четыре</t>
        </is>
      </c>
      <c r="E296" t="inlineStr">
        <is>
          <t>тысячи</t>
        </is>
      </c>
      <c r="F296" t="inlineStr">
        <is>
          <t>копейки</t>
        </is>
      </c>
    </row>
    <row r="297">
      <c r="A297" t="n">
        <v>295</v>
      </c>
      <c r="B297" t="inlineStr">
        <is>
          <t>двести девяносто пять</t>
        </is>
      </c>
      <c r="C297" t="inlineStr">
        <is>
          <t>рублей</t>
        </is>
      </c>
      <c r="D297" t="inlineStr">
        <is>
          <t>двести девяносто пять</t>
        </is>
      </c>
      <c r="E297" t="inlineStr">
        <is>
          <t>тысяч</t>
        </is>
      </c>
      <c r="F297" t="inlineStr">
        <is>
          <t>копеек</t>
        </is>
      </c>
    </row>
    <row r="298">
      <c r="A298" t="n">
        <v>296</v>
      </c>
      <c r="B298" t="inlineStr">
        <is>
          <t>двести девяносто шесть</t>
        </is>
      </c>
      <c r="C298" t="inlineStr">
        <is>
          <t>рублей</t>
        </is>
      </c>
      <c r="D298" t="inlineStr">
        <is>
          <t>двести девяносто шесть</t>
        </is>
      </c>
      <c r="E298" t="inlineStr">
        <is>
          <t>тысяч</t>
        </is>
      </c>
      <c r="F298" t="inlineStr">
        <is>
          <t>копеек</t>
        </is>
      </c>
    </row>
    <row r="299">
      <c r="A299" t="n">
        <v>297</v>
      </c>
      <c r="B299" t="inlineStr">
        <is>
          <t>двести девяносто семь</t>
        </is>
      </c>
      <c r="C299" t="inlineStr">
        <is>
          <t>рублей</t>
        </is>
      </c>
      <c r="D299" t="inlineStr">
        <is>
          <t>двести девяносто семь</t>
        </is>
      </c>
      <c r="E299" t="inlineStr">
        <is>
          <t>тысяч</t>
        </is>
      </c>
      <c r="F299" t="inlineStr">
        <is>
          <t>копеек</t>
        </is>
      </c>
    </row>
    <row r="300">
      <c r="A300" t="n">
        <v>298</v>
      </c>
      <c r="B300" t="inlineStr">
        <is>
          <t>двести девяносто восемь</t>
        </is>
      </c>
      <c r="C300" t="inlineStr">
        <is>
          <t>рублей</t>
        </is>
      </c>
      <c r="D300" t="inlineStr">
        <is>
          <t>двести девяносто восемь</t>
        </is>
      </c>
      <c r="E300" t="inlineStr">
        <is>
          <t>тысяч</t>
        </is>
      </c>
      <c r="F300" t="inlineStr">
        <is>
          <t>копеек</t>
        </is>
      </c>
    </row>
    <row r="301">
      <c r="A301" t="n">
        <v>299</v>
      </c>
      <c r="B301" t="inlineStr">
        <is>
          <t>двести девяносто девять</t>
        </is>
      </c>
      <c r="C301" t="inlineStr">
        <is>
          <t>рублей</t>
        </is>
      </c>
      <c r="D301" t="inlineStr">
        <is>
          <t>двести девяносто девять</t>
        </is>
      </c>
      <c r="E301" t="inlineStr">
        <is>
          <t>тысяч</t>
        </is>
      </c>
      <c r="F301" t="inlineStr">
        <is>
          <t>копеек</t>
        </is>
      </c>
    </row>
    <row r="302">
      <c r="A302" t="n">
        <v>300</v>
      </c>
      <c r="B302" t="inlineStr">
        <is>
          <t>триста</t>
        </is>
      </c>
      <c r="C302" t="inlineStr">
        <is>
          <t>рублей</t>
        </is>
      </c>
      <c r="D302" t="inlineStr">
        <is>
          <t>триста</t>
        </is>
      </c>
      <c r="E302" t="inlineStr">
        <is>
          <t>тысяч</t>
        </is>
      </c>
      <c r="F302" t="inlineStr">
        <is>
          <t>копеек</t>
        </is>
      </c>
    </row>
    <row r="303">
      <c r="A303" t="n">
        <v>301</v>
      </c>
      <c r="B303" t="inlineStr">
        <is>
          <t>триста один</t>
        </is>
      </c>
      <c r="C303" t="inlineStr">
        <is>
          <t>рубль</t>
        </is>
      </c>
      <c r="D303" t="inlineStr">
        <is>
          <t>триста одна</t>
        </is>
      </c>
      <c r="E303" t="inlineStr">
        <is>
          <t>тысяча</t>
        </is>
      </c>
      <c r="F303" t="inlineStr">
        <is>
          <t>копейка</t>
        </is>
      </c>
    </row>
    <row r="304">
      <c r="A304" t="n">
        <v>302</v>
      </c>
      <c r="B304" t="inlineStr">
        <is>
          <t>триста два</t>
        </is>
      </c>
      <c r="C304" t="inlineStr">
        <is>
          <t>рубля</t>
        </is>
      </c>
      <c r="D304" t="inlineStr">
        <is>
          <t>триста две</t>
        </is>
      </c>
      <c r="E304" t="inlineStr">
        <is>
          <t>тысячи</t>
        </is>
      </c>
      <c r="F304" t="inlineStr">
        <is>
          <t>копейки</t>
        </is>
      </c>
    </row>
    <row r="305">
      <c r="A305" t="n">
        <v>303</v>
      </c>
      <c r="B305" t="inlineStr">
        <is>
          <t>триста три</t>
        </is>
      </c>
      <c r="C305" t="inlineStr">
        <is>
          <t>рубля</t>
        </is>
      </c>
      <c r="D305" t="inlineStr">
        <is>
          <t>триста три</t>
        </is>
      </c>
      <c r="E305" t="inlineStr">
        <is>
          <t>тысячи</t>
        </is>
      </c>
      <c r="F305" t="inlineStr">
        <is>
          <t>копейки</t>
        </is>
      </c>
    </row>
    <row r="306">
      <c r="A306" t="n">
        <v>304</v>
      </c>
      <c r="B306" t="inlineStr">
        <is>
          <t>триста четыре</t>
        </is>
      </c>
      <c r="C306" t="inlineStr">
        <is>
          <t>рубля</t>
        </is>
      </c>
      <c r="D306" t="inlineStr">
        <is>
          <t>триста четыре</t>
        </is>
      </c>
      <c r="E306" t="inlineStr">
        <is>
          <t>тысячи</t>
        </is>
      </c>
      <c r="F306" t="inlineStr">
        <is>
          <t>копейки</t>
        </is>
      </c>
    </row>
    <row r="307">
      <c r="A307" t="n">
        <v>305</v>
      </c>
      <c r="B307" t="inlineStr">
        <is>
          <t>триста пять</t>
        </is>
      </c>
      <c r="C307" t="inlineStr">
        <is>
          <t>рублей</t>
        </is>
      </c>
      <c r="D307" t="inlineStr">
        <is>
          <t>триста пять</t>
        </is>
      </c>
      <c r="E307" t="inlineStr">
        <is>
          <t>тысяч</t>
        </is>
      </c>
      <c r="F307" t="inlineStr">
        <is>
          <t>копеек</t>
        </is>
      </c>
    </row>
    <row r="308">
      <c r="A308" t="n">
        <v>306</v>
      </c>
      <c r="B308" t="inlineStr">
        <is>
          <t>триста шесть</t>
        </is>
      </c>
      <c r="C308" t="inlineStr">
        <is>
          <t>рублей</t>
        </is>
      </c>
      <c r="D308" t="inlineStr">
        <is>
          <t>триста шесть</t>
        </is>
      </c>
      <c r="E308" t="inlineStr">
        <is>
          <t>тысяч</t>
        </is>
      </c>
      <c r="F308" t="inlineStr">
        <is>
          <t>копеек</t>
        </is>
      </c>
    </row>
    <row r="309">
      <c r="A309" t="n">
        <v>307</v>
      </c>
      <c r="B309" t="inlineStr">
        <is>
          <t>триста семь</t>
        </is>
      </c>
      <c r="C309" t="inlineStr">
        <is>
          <t>рублей</t>
        </is>
      </c>
      <c r="D309" t="inlineStr">
        <is>
          <t>триста семь</t>
        </is>
      </c>
      <c r="E309" t="inlineStr">
        <is>
          <t>тысяч</t>
        </is>
      </c>
      <c r="F309" t="inlineStr">
        <is>
          <t>копеек</t>
        </is>
      </c>
    </row>
    <row r="310">
      <c r="A310" t="n">
        <v>308</v>
      </c>
      <c r="B310" t="inlineStr">
        <is>
          <t>триста восемь</t>
        </is>
      </c>
      <c r="C310" t="inlineStr">
        <is>
          <t>рублей</t>
        </is>
      </c>
      <c r="D310" t="inlineStr">
        <is>
          <t>триста восемь</t>
        </is>
      </c>
      <c r="E310" t="inlineStr">
        <is>
          <t>тысяч</t>
        </is>
      </c>
      <c r="F310" t="inlineStr">
        <is>
          <t>копеек</t>
        </is>
      </c>
    </row>
    <row r="311">
      <c r="A311" t="n">
        <v>309</v>
      </c>
      <c r="B311" t="inlineStr">
        <is>
          <t>триста девять</t>
        </is>
      </c>
      <c r="C311" t="inlineStr">
        <is>
          <t>рублей</t>
        </is>
      </c>
      <c r="D311" t="inlineStr">
        <is>
          <t>триста девять</t>
        </is>
      </c>
      <c r="E311" t="inlineStr">
        <is>
          <t>тысяч</t>
        </is>
      </c>
      <c r="F311" t="inlineStr">
        <is>
          <t>копеек</t>
        </is>
      </c>
    </row>
    <row r="312">
      <c r="A312" t="n">
        <v>310</v>
      </c>
      <c r="B312" t="inlineStr">
        <is>
          <t>триста десять</t>
        </is>
      </c>
      <c r="C312" t="inlineStr">
        <is>
          <t>рублей</t>
        </is>
      </c>
      <c r="D312" t="inlineStr">
        <is>
          <t>триста десять</t>
        </is>
      </c>
      <c r="E312" t="inlineStr">
        <is>
          <t>тысяч</t>
        </is>
      </c>
      <c r="F312" t="inlineStr">
        <is>
          <t>копеек</t>
        </is>
      </c>
    </row>
    <row r="313">
      <c r="A313" t="n">
        <v>311</v>
      </c>
      <c r="B313" t="inlineStr">
        <is>
          <t>триста одиннадцать</t>
        </is>
      </c>
      <c r="C313" t="inlineStr">
        <is>
          <t>рублей</t>
        </is>
      </c>
      <c r="D313" t="inlineStr">
        <is>
          <t>триста одиннадцать</t>
        </is>
      </c>
      <c r="E313" t="inlineStr">
        <is>
          <t>тысяч</t>
        </is>
      </c>
      <c r="F313" t="inlineStr">
        <is>
          <t>копеек</t>
        </is>
      </c>
    </row>
    <row r="314">
      <c r="A314" t="n">
        <v>312</v>
      </c>
      <c r="B314" t="inlineStr">
        <is>
          <t>триста двенадцать</t>
        </is>
      </c>
      <c r="C314" t="inlineStr">
        <is>
          <t>рублей</t>
        </is>
      </c>
      <c r="D314" t="inlineStr">
        <is>
          <t>триста двенадцать</t>
        </is>
      </c>
      <c r="E314" t="inlineStr">
        <is>
          <t>тысяч</t>
        </is>
      </c>
      <c r="F314" t="inlineStr">
        <is>
          <t>копеек</t>
        </is>
      </c>
    </row>
    <row r="315">
      <c r="A315" t="n">
        <v>313</v>
      </c>
      <c r="B315" t="inlineStr">
        <is>
          <t>триста тринадцать</t>
        </is>
      </c>
      <c r="C315" t="inlineStr">
        <is>
          <t>рублей</t>
        </is>
      </c>
      <c r="D315" t="inlineStr">
        <is>
          <t>триста тринадцать</t>
        </is>
      </c>
      <c r="E315" t="inlineStr">
        <is>
          <t>тысяч</t>
        </is>
      </c>
      <c r="F315" t="inlineStr">
        <is>
          <t>копеек</t>
        </is>
      </c>
    </row>
    <row r="316">
      <c r="A316" t="n">
        <v>314</v>
      </c>
      <c r="B316" t="inlineStr">
        <is>
          <t>триста четырнадцать</t>
        </is>
      </c>
      <c r="C316" t="inlineStr">
        <is>
          <t>рублей</t>
        </is>
      </c>
      <c r="D316" t="inlineStr">
        <is>
          <t>триста четырнадцать</t>
        </is>
      </c>
      <c r="E316" t="inlineStr">
        <is>
          <t>тысяч</t>
        </is>
      </c>
      <c r="F316" t="inlineStr">
        <is>
          <t>копеек</t>
        </is>
      </c>
    </row>
    <row r="317">
      <c r="A317" t="n">
        <v>315</v>
      </c>
      <c r="B317" t="inlineStr">
        <is>
          <t>триста пятнадцать</t>
        </is>
      </c>
      <c r="C317" t="inlineStr">
        <is>
          <t>рублей</t>
        </is>
      </c>
      <c r="D317" t="inlineStr">
        <is>
          <t>триста пятнадцать</t>
        </is>
      </c>
      <c r="E317" t="inlineStr">
        <is>
          <t>тысяч</t>
        </is>
      </c>
      <c r="F317" t="inlineStr">
        <is>
          <t>копеек</t>
        </is>
      </c>
    </row>
    <row r="318">
      <c r="A318" t="n">
        <v>316</v>
      </c>
      <c r="B318" t="inlineStr">
        <is>
          <t>триста шестнадцать</t>
        </is>
      </c>
      <c r="C318" t="inlineStr">
        <is>
          <t>рублей</t>
        </is>
      </c>
      <c r="D318" t="inlineStr">
        <is>
          <t>триста шестнадцать</t>
        </is>
      </c>
      <c r="E318" t="inlineStr">
        <is>
          <t>тысяч</t>
        </is>
      </c>
      <c r="F318" t="inlineStr">
        <is>
          <t>копеек</t>
        </is>
      </c>
    </row>
    <row r="319">
      <c r="A319" t="n">
        <v>317</v>
      </c>
      <c r="B319" t="inlineStr">
        <is>
          <t>триста семнадцать</t>
        </is>
      </c>
      <c r="C319" t="inlineStr">
        <is>
          <t>рублей</t>
        </is>
      </c>
      <c r="D319" t="inlineStr">
        <is>
          <t>триста семнадцать</t>
        </is>
      </c>
      <c r="E319" t="inlineStr">
        <is>
          <t>тысяч</t>
        </is>
      </c>
      <c r="F319" t="inlineStr">
        <is>
          <t>копеек</t>
        </is>
      </c>
    </row>
    <row r="320">
      <c r="A320" t="n">
        <v>318</v>
      </c>
      <c r="B320" t="inlineStr">
        <is>
          <t>триста восемнадцать</t>
        </is>
      </c>
      <c r="C320" t="inlineStr">
        <is>
          <t>рублей</t>
        </is>
      </c>
      <c r="D320" t="inlineStr">
        <is>
          <t>триста восемнадцать</t>
        </is>
      </c>
      <c r="E320" t="inlineStr">
        <is>
          <t>тысяч</t>
        </is>
      </c>
      <c r="F320" t="inlineStr">
        <is>
          <t>копеек</t>
        </is>
      </c>
    </row>
    <row r="321">
      <c r="A321" t="n">
        <v>319</v>
      </c>
      <c r="B321" t="inlineStr">
        <is>
          <t>триста девятнадцать</t>
        </is>
      </c>
      <c r="C321" t="inlineStr">
        <is>
          <t>рублей</t>
        </is>
      </c>
      <c r="D321" t="inlineStr">
        <is>
          <t>триста девятнадцать</t>
        </is>
      </c>
      <c r="E321" t="inlineStr">
        <is>
          <t>тысяч</t>
        </is>
      </c>
      <c r="F321" t="inlineStr">
        <is>
          <t>копеек</t>
        </is>
      </c>
    </row>
    <row r="322">
      <c r="A322" t="n">
        <v>320</v>
      </c>
      <c r="B322" t="inlineStr">
        <is>
          <t>триста двадцать</t>
        </is>
      </c>
      <c r="C322" t="inlineStr">
        <is>
          <t>рублей</t>
        </is>
      </c>
      <c r="D322" t="inlineStr">
        <is>
          <t>триста двадцать</t>
        </is>
      </c>
      <c r="E322" t="inlineStr">
        <is>
          <t>тысяч</t>
        </is>
      </c>
      <c r="F322" t="inlineStr">
        <is>
          <t>копеек</t>
        </is>
      </c>
    </row>
    <row r="323">
      <c r="A323" t="n">
        <v>321</v>
      </c>
      <c r="B323" t="inlineStr">
        <is>
          <t>триста двадцать один</t>
        </is>
      </c>
      <c r="C323" t="inlineStr">
        <is>
          <t>рубль</t>
        </is>
      </c>
      <c r="D323" t="inlineStr">
        <is>
          <t>триста двадцать одна</t>
        </is>
      </c>
      <c r="E323" t="inlineStr">
        <is>
          <t>тысяча</t>
        </is>
      </c>
      <c r="F323" t="inlineStr">
        <is>
          <t>копейка</t>
        </is>
      </c>
    </row>
    <row r="324">
      <c r="A324" t="n">
        <v>322</v>
      </c>
      <c r="B324" t="inlineStr">
        <is>
          <t>триста двадцать два</t>
        </is>
      </c>
      <c r="C324" t="inlineStr">
        <is>
          <t>рубля</t>
        </is>
      </c>
      <c r="D324" t="inlineStr">
        <is>
          <t>триста двадцать две</t>
        </is>
      </c>
      <c r="E324" t="inlineStr">
        <is>
          <t>тысячи</t>
        </is>
      </c>
      <c r="F324" t="inlineStr">
        <is>
          <t>копейки</t>
        </is>
      </c>
    </row>
    <row r="325">
      <c r="A325" t="n">
        <v>323</v>
      </c>
      <c r="B325" t="inlineStr">
        <is>
          <t>триста двадцать три</t>
        </is>
      </c>
      <c r="C325" t="inlineStr">
        <is>
          <t>рубля</t>
        </is>
      </c>
      <c r="D325" t="inlineStr">
        <is>
          <t>триста двадцать три</t>
        </is>
      </c>
      <c r="E325" t="inlineStr">
        <is>
          <t>тысячи</t>
        </is>
      </c>
      <c r="F325" t="inlineStr">
        <is>
          <t>копейки</t>
        </is>
      </c>
    </row>
    <row r="326">
      <c r="A326" t="n">
        <v>324</v>
      </c>
      <c r="B326" t="inlineStr">
        <is>
          <t>триста двадцать четыре</t>
        </is>
      </c>
      <c r="C326" t="inlineStr">
        <is>
          <t>рубля</t>
        </is>
      </c>
      <c r="D326" t="inlineStr">
        <is>
          <t>триста двадцать четыре</t>
        </is>
      </c>
      <c r="E326" t="inlineStr">
        <is>
          <t>тысячи</t>
        </is>
      </c>
      <c r="F326" t="inlineStr">
        <is>
          <t>копейки</t>
        </is>
      </c>
    </row>
    <row r="327">
      <c r="A327" t="n">
        <v>325</v>
      </c>
      <c r="B327" t="inlineStr">
        <is>
          <t>триста двадцать пять</t>
        </is>
      </c>
      <c r="C327" t="inlineStr">
        <is>
          <t>рублей</t>
        </is>
      </c>
      <c r="D327" t="inlineStr">
        <is>
          <t>триста двадцать пять</t>
        </is>
      </c>
      <c r="E327" t="inlineStr">
        <is>
          <t>тысяч</t>
        </is>
      </c>
      <c r="F327" t="inlineStr">
        <is>
          <t>копеек</t>
        </is>
      </c>
    </row>
    <row r="328">
      <c r="A328" t="n">
        <v>326</v>
      </c>
      <c r="B328" t="inlineStr">
        <is>
          <t>триста двадцать шесть</t>
        </is>
      </c>
      <c r="C328" t="inlineStr">
        <is>
          <t>рублей</t>
        </is>
      </c>
      <c r="D328" t="inlineStr">
        <is>
          <t>триста двадцать шесть</t>
        </is>
      </c>
      <c r="E328" t="inlineStr">
        <is>
          <t>тысяч</t>
        </is>
      </c>
      <c r="F328" t="inlineStr">
        <is>
          <t>копеек</t>
        </is>
      </c>
    </row>
    <row r="329">
      <c r="A329" t="n">
        <v>327</v>
      </c>
      <c r="B329" t="inlineStr">
        <is>
          <t>триста двадцать семь</t>
        </is>
      </c>
      <c r="C329" t="inlineStr">
        <is>
          <t>рублей</t>
        </is>
      </c>
      <c r="D329" t="inlineStr">
        <is>
          <t>триста двадцать семь</t>
        </is>
      </c>
      <c r="E329" t="inlineStr">
        <is>
          <t>тысяч</t>
        </is>
      </c>
      <c r="F329" t="inlineStr">
        <is>
          <t>копеек</t>
        </is>
      </c>
    </row>
    <row r="330">
      <c r="A330" t="n">
        <v>328</v>
      </c>
      <c r="B330" t="inlineStr">
        <is>
          <t>триста двадцать восемь</t>
        </is>
      </c>
      <c r="C330" t="inlineStr">
        <is>
          <t>рублей</t>
        </is>
      </c>
      <c r="D330" t="inlineStr">
        <is>
          <t>триста двадцать восемь</t>
        </is>
      </c>
      <c r="E330" t="inlineStr">
        <is>
          <t>тысяч</t>
        </is>
      </c>
      <c r="F330" t="inlineStr">
        <is>
          <t>копеек</t>
        </is>
      </c>
    </row>
    <row r="331">
      <c r="A331" t="n">
        <v>329</v>
      </c>
      <c r="B331" t="inlineStr">
        <is>
          <t>триста двадцать девять</t>
        </is>
      </c>
      <c r="C331" t="inlineStr">
        <is>
          <t>рублей</t>
        </is>
      </c>
      <c r="D331" t="inlineStr">
        <is>
          <t>триста двадцать девять</t>
        </is>
      </c>
      <c r="E331" t="inlineStr">
        <is>
          <t>тысяч</t>
        </is>
      </c>
      <c r="F331" t="inlineStr">
        <is>
          <t>копеек</t>
        </is>
      </c>
    </row>
    <row r="332">
      <c r="A332" t="n">
        <v>330</v>
      </c>
      <c r="B332" t="inlineStr">
        <is>
          <t>триста тридцать</t>
        </is>
      </c>
      <c r="C332" t="inlineStr">
        <is>
          <t>рублей</t>
        </is>
      </c>
      <c r="D332" t="inlineStr">
        <is>
          <t>триста тридцать</t>
        </is>
      </c>
      <c r="E332" t="inlineStr">
        <is>
          <t>тысяч</t>
        </is>
      </c>
      <c r="F332" t="inlineStr">
        <is>
          <t>копеек</t>
        </is>
      </c>
    </row>
    <row r="333">
      <c r="A333" t="n">
        <v>331</v>
      </c>
      <c r="B333" t="inlineStr">
        <is>
          <t>триста тридцать один</t>
        </is>
      </c>
      <c r="C333" t="inlineStr">
        <is>
          <t>рубль</t>
        </is>
      </c>
      <c r="D333" t="inlineStr">
        <is>
          <t>триста тридцать одна</t>
        </is>
      </c>
      <c r="E333" t="inlineStr">
        <is>
          <t>тысяча</t>
        </is>
      </c>
      <c r="F333" t="inlineStr">
        <is>
          <t>копейка</t>
        </is>
      </c>
    </row>
    <row r="334">
      <c r="A334" t="n">
        <v>332</v>
      </c>
      <c r="B334" t="inlineStr">
        <is>
          <t>триста тридцать два</t>
        </is>
      </c>
      <c r="C334" t="inlineStr">
        <is>
          <t>рубля</t>
        </is>
      </c>
      <c r="D334" t="inlineStr">
        <is>
          <t>триста тридцать две</t>
        </is>
      </c>
      <c r="E334" t="inlineStr">
        <is>
          <t>тысячи</t>
        </is>
      </c>
      <c r="F334" t="inlineStr">
        <is>
          <t>копейки</t>
        </is>
      </c>
    </row>
    <row r="335">
      <c r="A335" t="n">
        <v>333</v>
      </c>
      <c r="B335" t="inlineStr">
        <is>
          <t>триста тридцать три</t>
        </is>
      </c>
      <c r="C335" t="inlineStr">
        <is>
          <t>рубля</t>
        </is>
      </c>
      <c r="D335" t="inlineStr">
        <is>
          <t>триста тридцать три</t>
        </is>
      </c>
      <c r="E335" t="inlineStr">
        <is>
          <t>тысячи</t>
        </is>
      </c>
      <c r="F335" t="inlineStr">
        <is>
          <t>копейки</t>
        </is>
      </c>
    </row>
    <row r="336">
      <c r="A336" t="n">
        <v>334</v>
      </c>
      <c r="B336" t="inlineStr">
        <is>
          <t>триста тридцать четыре</t>
        </is>
      </c>
      <c r="C336" t="inlineStr">
        <is>
          <t>рубля</t>
        </is>
      </c>
      <c r="D336" t="inlineStr">
        <is>
          <t>триста тридцать четыре</t>
        </is>
      </c>
      <c r="E336" t="inlineStr">
        <is>
          <t>тысячи</t>
        </is>
      </c>
      <c r="F336" t="inlineStr">
        <is>
          <t>копейки</t>
        </is>
      </c>
    </row>
    <row r="337">
      <c r="A337" t="n">
        <v>335</v>
      </c>
      <c r="B337" t="inlineStr">
        <is>
          <t>триста тридцать пять</t>
        </is>
      </c>
      <c r="C337" t="inlineStr">
        <is>
          <t>рублей</t>
        </is>
      </c>
      <c r="D337" t="inlineStr">
        <is>
          <t>триста тридцать пять</t>
        </is>
      </c>
      <c r="E337" t="inlineStr">
        <is>
          <t>тысяч</t>
        </is>
      </c>
      <c r="F337" t="inlineStr">
        <is>
          <t>копеек</t>
        </is>
      </c>
    </row>
    <row r="338">
      <c r="A338" t="n">
        <v>336</v>
      </c>
      <c r="B338" t="inlineStr">
        <is>
          <t>триста тридцать шесть</t>
        </is>
      </c>
      <c r="C338" t="inlineStr">
        <is>
          <t>рублей</t>
        </is>
      </c>
      <c r="D338" t="inlineStr">
        <is>
          <t>триста тридцать шесть</t>
        </is>
      </c>
      <c r="E338" t="inlineStr">
        <is>
          <t>тысяч</t>
        </is>
      </c>
      <c r="F338" t="inlineStr">
        <is>
          <t>копеек</t>
        </is>
      </c>
    </row>
    <row r="339">
      <c r="A339" t="n">
        <v>337</v>
      </c>
      <c r="B339" t="inlineStr">
        <is>
          <t>триста тридцать семь</t>
        </is>
      </c>
      <c r="C339" t="inlineStr">
        <is>
          <t>рублей</t>
        </is>
      </c>
      <c r="D339" t="inlineStr">
        <is>
          <t>триста тридцать семь</t>
        </is>
      </c>
      <c r="E339" t="inlineStr">
        <is>
          <t>тысяч</t>
        </is>
      </c>
      <c r="F339" t="inlineStr">
        <is>
          <t>копеек</t>
        </is>
      </c>
    </row>
    <row r="340">
      <c r="A340" t="n">
        <v>338</v>
      </c>
      <c r="B340" t="inlineStr">
        <is>
          <t>триста тридцать восемь</t>
        </is>
      </c>
      <c r="C340" t="inlineStr">
        <is>
          <t>рублей</t>
        </is>
      </c>
      <c r="D340" t="inlineStr">
        <is>
          <t>триста тридцать восемь</t>
        </is>
      </c>
      <c r="E340" t="inlineStr">
        <is>
          <t>тысяч</t>
        </is>
      </c>
      <c r="F340" t="inlineStr">
        <is>
          <t>копеек</t>
        </is>
      </c>
    </row>
    <row r="341">
      <c r="A341" t="n">
        <v>339</v>
      </c>
      <c r="B341" t="inlineStr">
        <is>
          <t>триста тридцать девять</t>
        </is>
      </c>
      <c r="C341" t="inlineStr">
        <is>
          <t>рублей</t>
        </is>
      </c>
      <c r="D341" t="inlineStr">
        <is>
          <t>триста тридцать девять</t>
        </is>
      </c>
      <c r="E341" t="inlineStr">
        <is>
          <t>тысяч</t>
        </is>
      </c>
      <c r="F341" t="inlineStr">
        <is>
          <t>копеек</t>
        </is>
      </c>
    </row>
    <row r="342">
      <c r="A342" t="n">
        <v>340</v>
      </c>
      <c r="B342" t="inlineStr">
        <is>
          <t>триста сорок</t>
        </is>
      </c>
      <c r="C342" t="inlineStr">
        <is>
          <t>рублей</t>
        </is>
      </c>
      <c r="D342" t="inlineStr">
        <is>
          <t>триста сорок</t>
        </is>
      </c>
      <c r="E342" t="inlineStr">
        <is>
          <t>тысяч</t>
        </is>
      </c>
      <c r="F342" t="inlineStr">
        <is>
          <t>копеек</t>
        </is>
      </c>
    </row>
    <row r="343">
      <c r="A343" t="n">
        <v>341</v>
      </c>
      <c r="B343" t="inlineStr">
        <is>
          <t>триста сорок один</t>
        </is>
      </c>
      <c r="C343" t="inlineStr">
        <is>
          <t>рубль</t>
        </is>
      </c>
      <c r="D343" t="inlineStr">
        <is>
          <t>триста сорок одна</t>
        </is>
      </c>
      <c r="E343" t="inlineStr">
        <is>
          <t>тысяча</t>
        </is>
      </c>
      <c r="F343" t="inlineStr">
        <is>
          <t>копейка</t>
        </is>
      </c>
    </row>
    <row r="344">
      <c r="A344" t="n">
        <v>342</v>
      </c>
      <c r="B344" t="inlineStr">
        <is>
          <t>триста сорок два</t>
        </is>
      </c>
      <c r="C344" t="inlineStr">
        <is>
          <t>рубля</t>
        </is>
      </c>
      <c r="D344" t="inlineStr">
        <is>
          <t>триста сорок две</t>
        </is>
      </c>
      <c r="E344" t="inlineStr">
        <is>
          <t>тысячи</t>
        </is>
      </c>
      <c r="F344" t="inlineStr">
        <is>
          <t>копейки</t>
        </is>
      </c>
    </row>
    <row r="345">
      <c r="A345" t="n">
        <v>343</v>
      </c>
      <c r="B345" t="inlineStr">
        <is>
          <t>триста сорок три</t>
        </is>
      </c>
      <c r="C345" t="inlineStr">
        <is>
          <t>рубля</t>
        </is>
      </c>
      <c r="D345" t="inlineStr">
        <is>
          <t>триста сорок три</t>
        </is>
      </c>
      <c r="E345" t="inlineStr">
        <is>
          <t>тысячи</t>
        </is>
      </c>
      <c r="F345" t="inlineStr">
        <is>
          <t>копейки</t>
        </is>
      </c>
    </row>
    <row r="346">
      <c r="A346" t="n">
        <v>344</v>
      </c>
      <c r="B346" t="inlineStr">
        <is>
          <t>триста сорок четыре</t>
        </is>
      </c>
      <c r="C346" t="inlineStr">
        <is>
          <t>рубля</t>
        </is>
      </c>
      <c r="D346" t="inlineStr">
        <is>
          <t>триста сорок четыре</t>
        </is>
      </c>
      <c r="E346" t="inlineStr">
        <is>
          <t>тысячи</t>
        </is>
      </c>
      <c r="F346" t="inlineStr">
        <is>
          <t>копейки</t>
        </is>
      </c>
    </row>
    <row r="347">
      <c r="A347" t="n">
        <v>345</v>
      </c>
      <c r="B347" t="inlineStr">
        <is>
          <t>триста сорок пять</t>
        </is>
      </c>
      <c r="C347" t="inlineStr">
        <is>
          <t>рублей</t>
        </is>
      </c>
      <c r="D347" t="inlineStr">
        <is>
          <t>триста сорок пять</t>
        </is>
      </c>
      <c r="E347" t="inlineStr">
        <is>
          <t>тысяч</t>
        </is>
      </c>
      <c r="F347" t="inlineStr">
        <is>
          <t>копеек</t>
        </is>
      </c>
    </row>
    <row r="348">
      <c r="A348" t="n">
        <v>346</v>
      </c>
      <c r="B348" t="inlineStr">
        <is>
          <t>триста сорок шесть</t>
        </is>
      </c>
      <c r="C348" t="inlineStr">
        <is>
          <t>рублей</t>
        </is>
      </c>
      <c r="D348" t="inlineStr">
        <is>
          <t>триста сорок шесть</t>
        </is>
      </c>
      <c r="E348" t="inlineStr">
        <is>
          <t>тысяч</t>
        </is>
      </c>
      <c r="F348" t="inlineStr">
        <is>
          <t>копеек</t>
        </is>
      </c>
    </row>
    <row r="349">
      <c r="A349" t="n">
        <v>347</v>
      </c>
      <c r="B349" t="inlineStr">
        <is>
          <t>триста сорок семь</t>
        </is>
      </c>
      <c r="C349" t="inlineStr">
        <is>
          <t>рублей</t>
        </is>
      </c>
      <c r="D349" t="inlineStr">
        <is>
          <t>триста сорок семь</t>
        </is>
      </c>
      <c r="E349" t="inlineStr">
        <is>
          <t>тысяч</t>
        </is>
      </c>
      <c r="F349" t="inlineStr">
        <is>
          <t>копеек</t>
        </is>
      </c>
    </row>
    <row r="350">
      <c r="A350" t="n">
        <v>348</v>
      </c>
      <c r="B350" t="inlineStr">
        <is>
          <t>триста сорок восемь</t>
        </is>
      </c>
      <c r="C350" t="inlineStr">
        <is>
          <t>рублей</t>
        </is>
      </c>
      <c r="D350" t="inlineStr">
        <is>
          <t>триста сорок восемь</t>
        </is>
      </c>
      <c r="E350" t="inlineStr">
        <is>
          <t>тысяч</t>
        </is>
      </c>
      <c r="F350" t="inlineStr">
        <is>
          <t>копеек</t>
        </is>
      </c>
    </row>
    <row r="351">
      <c r="A351" t="n">
        <v>349</v>
      </c>
      <c r="B351" t="inlineStr">
        <is>
          <t>триста сорок девять</t>
        </is>
      </c>
      <c r="C351" t="inlineStr">
        <is>
          <t>рублей</t>
        </is>
      </c>
      <c r="D351" t="inlineStr">
        <is>
          <t>триста сорок девять</t>
        </is>
      </c>
      <c r="E351" t="inlineStr">
        <is>
          <t>тысяч</t>
        </is>
      </c>
      <c r="F351" t="inlineStr">
        <is>
          <t>копеек</t>
        </is>
      </c>
    </row>
    <row r="352">
      <c r="A352" t="n">
        <v>350</v>
      </c>
      <c r="B352" t="inlineStr">
        <is>
          <t>триста пятьдесят</t>
        </is>
      </c>
      <c r="C352" t="inlineStr">
        <is>
          <t>рублей</t>
        </is>
      </c>
      <c r="D352" t="inlineStr">
        <is>
          <t>триста пятьдесят</t>
        </is>
      </c>
      <c r="E352" t="inlineStr">
        <is>
          <t>тысяч</t>
        </is>
      </c>
      <c r="F352" t="inlineStr">
        <is>
          <t>копеек</t>
        </is>
      </c>
    </row>
    <row r="353">
      <c r="A353" t="n">
        <v>351</v>
      </c>
      <c r="B353" t="inlineStr">
        <is>
          <t>триста пятьдесят один</t>
        </is>
      </c>
      <c r="C353" t="inlineStr">
        <is>
          <t>рубль</t>
        </is>
      </c>
      <c r="D353" t="inlineStr">
        <is>
          <t>триста пятьдесят одна</t>
        </is>
      </c>
      <c r="E353" t="inlineStr">
        <is>
          <t>тысяча</t>
        </is>
      </c>
      <c r="F353" t="inlineStr">
        <is>
          <t>копейка</t>
        </is>
      </c>
    </row>
    <row r="354">
      <c r="A354" t="n">
        <v>352</v>
      </c>
      <c r="B354" t="inlineStr">
        <is>
          <t>триста пятьдесят два</t>
        </is>
      </c>
      <c r="C354" t="inlineStr">
        <is>
          <t>рубля</t>
        </is>
      </c>
      <c r="D354" t="inlineStr">
        <is>
          <t>триста пятьдесят две</t>
        </is>
      </c>
      <c r="E354" t="inlineStr">
        <is>
          <t>тысячи</t>
        </is>
      </c>
      <c r="F354" t="inlineStr">
        <is>
          <t>копейки</t>
        </is>
      </c>
    </row>
    <row r="355">
      <c r="A355" t="n">
        <v>353</v>
      </c>
      <c r="B355" t="inlineStr">
        <is>
          <t>триста пятьдесят три</t>
        </is>
      </c>
      <c r="C355" t="inlineStr">
        <is>
          <t>рубля</t>
        </is>
      </c>
      <c r="D355" t="inlineStr">
        <is>
          <t>триста пятьдесят три</t>
        </is>
      </c>
      <c r="E355" t="inlineStr">
        <is>
          <t>тысячи</t>
        </is>
      </c>
      <c r="F355" t="inlineStr">
        <is>
          <t>копейки</t>
        </is>
      </c>
    </row>
    <row r="356">
      <c r="A356" t="n">
        <v>354</v>
      </c>
      <c r="B356" t="inlineStr">
        <is>
          <t>триста пятьдесят четыре</t>
        </is>
      </c>
      <c r="C356" t="inlineStr">
        <is>
          <t>рубля</t>
        </is>
      </c>
      <c r="D356" t="inlineStr">
        <is>
          <t>триста пятьдесят четыре</t>
        </is>
      </c>
      <c r="E356" t="inlineStr">
        <is>
          <t>тысячи</t>
        </is>
      </c>
      <c r="F356" t="inlineStr">
        <is>
          <t>копейки</t>
        </is>
      </c>
    </row>
    <row r="357">
      <c r="A357" t="n">
        <v>355</v>
      </c>
      <c r="B357" t="inlineStr">
        <is>
          <t>триста пятьдесят пять</t>
        </is>
      </c>
      <c r="C357" t="inlineStr">
        <is>
          <t>рублей</t>
        </is>
      </c>
      <c r="D357" t="inlineStr">
        <is>
          <t>триста пятьдесят пять</t>
        </is>
      </c>
      <c r="E357" t="inlineStr">
        <is>
          <t>тысяч</t>
        </is>
      </c>
      <c r="F357" t="inlineStr">
        <is>
          <t>копеек</t>
        </is>
      </c>
    </row>
    <row r="358">
      <c r="A358" t="n">
        <v>356</v>
      </c>
      <c r="B358" t="inlineStr">
        <is>
          <t>триста пятьдесят шесть</t>
        </is>
      </c>
      <c r="C358" t="inlineStr">
        <is>
          <t>рублей</t>
        </is>
      </c>
      <c r="D358" t="inlineStr">
        <is>
          <t>триста пятьдесят шесть</t>
        </is>
      </c>
      <c r="E358" t="inlineStr">
        <is>
          <t>тысяч</t>
        </is>
      </c>
      <c r="F358" t="inlineStr">
        <is>
          <t>копеек</t>
        </is>
      </c>
    </row>
    <row r="359">
      <c r="A359" t="n">
        <v>357</v>
      </c>
      <c r="B359" t="inlineStr">
        <is>
          <t>триста пятьдесят семь</t>
        </is>
      </c>
      <c r="C359" t="inlineStr">
        <is>
          <t>рублей</t>
        </is>
      </c>
      <c r="D359" t="inlineStr">
        <is>
          <t>триста пятьдесят семь</t>
        </is>
      </c>
      <c r="E359" t="inlineStr">
        <is>
          <t>тысяч</t>
        </is>
      </c>
      <c r="F359" t="inlineStr">
        <is>
          <t>копеек</t>
        </is>
      </c>
    </row>
    <row r="360">
      <c r="A360" t="n">
        <v>358</v>
      </c>
      <c r="B360" t="inlineStr">
        <is>
          <t>триста пятьдесят восемь</t>
        </is>
      </c>
      <c r="C360" t="inlineStr">
        <is>
          <t>рублей</t>
        </is>
      </c>
      <c r="D360" t="inlineStr">
        <is>
          <t>триста пятьдесят восемь</t>
        </is>
      </c>
      <c r="E360" t="inlineStr">
        <is>
          <t>тысяч</t>
        </is>
      </c>
      <c r="F360" t="inlineStr">
        <is>
          <t>копеек</t>
        </is>
      </c>
    </row>
    <row r="361">
      <c r="A361" t="n">
        <v>359</v>
      </c>
      <c r="B361" t="inlineStr">
        <is>
          <t>триста пятьдесят девять</t>
        </is>
      </c>
      <c r="C361" t="inlineStr">
        <is>
          <t>рублей</t>
        </is>
      </c>
      <c r="D361" t="inlineStr">
        <is>
          <t>триста пятьдесят девять</t>
        </is>
      </c>
      <c r="E361" t="inlineStr">
        <is>
          <t>тысяч</t>
        </is>
      </c>
      <c r="F361" t="inlineStr">
        <is>
          <t>копеек</t>
        </is>
      </c>
    </row>
    <row r="362">
      <c r="A362" t="n">
        <v>360</v>
      </c>
      <c r="B362" t="inlineStr">
        <is>
          <t>триста шестьдесят</t>
        </is>
      </c>
      <c r="C362" t="inlineStr">
        <is>
          <t>рублей</t>
        </is>
      </c>
      <c r="D362" t="inlineStr">
        <is>
          <t>триста шестьдесят</t>
        </is>
      </c>
      <c r="E362" t="inlineStr">
        <is>
          <t>тысяч</t>
        </is>
      </c>
      <c r="F362" t="inlineStr">
        <is>
          <t>копеек</t>
        </is>
      </c>
    </row>
    <row r="363">
      <c r="A363" t="n">
        <v>361</v>
      </c>
      <c r="B363" t="inlineStr">
        <is>
          <t>триста шестьдесят один</t>
        </is>
      </c>
      <c r="C363" t="inlineStr">
        <is>
          <t>рубль</t>
        </is>
      </c>
      <c r="D363" t="inlineStr">
        <is>
          <t>триста шестьдесят одна</t>
        </is>
      </c>
      <c r="E363" t="inlineStr">
        <is>
          <t>тысяча</t>
        </is>
      </c>
      <c r="F363" t="inlineStr">
        <is>
          <t>копейка</t>
        </is>
      </c>
    </row>
    <row r="364">
      <c r="A364" t="n">
        <v>362</v>
      </c>
      <c r="B364" t="inlineStr">
        <is>
          <t>триста шестьдесят два</t>
        </is>
      </c>
      <c r="C364" t="inlineStr">
        <is>
          <t>рубля</t>
        </is>
      </c>
      <c r="D364" t="inlineStr">
        <is>
          <t>триста шестьдесят две</t>
        </is>
      </c>
      <c r="E364" t="inlineStr">
        <is>
          <t>тысячи</t>
        </is>
      </c>
      <c r="F364" t="inlineStr">
        <is>
          <t>копейки</t>
        </is>
      </c>
    </row>
    <row r="365">
      <c r="A365" t="n">
        <v>363</v>
      </c>
      <c r="B365" t="inlineStr">
        <is>
          <t>триста шестьдесят три</t>
        </is>
      </c>
      <c r="C365" t="inlineStr">
        <is>
          <t>рубля</t>
        </is>
      </c>
      <c r="D365" t="inlineStr">
        <is>
          <t>триста шестьдесят три</t>
        </is>
      </c>
      <c r="E365" t="inlineStr">
        <is>
          <t>тысячи</t>
        </is>
      </c>
      <c r="F365" t="inlineStr">
        <is>
          <t>копейки</t>
        </is>
      </c>
    </row>
    <row r="366">
      <c r="A366" t="n">
        <v>364</v>
      </c>
      <c r="B366" t="inlineStr">
        <is>
          <t>триста шестьдесят четыре</t>
        </is>
      </c>
      <c r="C366" t="inlineStr">
        <is>
          <t>рубля</t>
        </is>
      </c>
      <c r="D366" t="inlineStr">
        <is>
          <t>триста шестьдесят четыре</t>
        </is>
      </c>
      <c r="E366" t="inlineStr">
        <is>
          <t>тысячи</t>
        </is>
      </c>
      <c r="F366" t="inlineStr">
        <is>
          <t>копейки</t>
        </is>
      </c>
    </row>
    <row r="367">
      <c r="A367" t="n">
        <v>365</v>
      </c>
      <c r="B367" t="inlineStr">
        <is>
          <t>триста шестьдесят пять</t>
        </is>
      </c>
      <c r="C367" t="inlineStr">
        <is>
          <t>рублей</t>
        </is>
      </c>
      <c r="D367" t="inlineStr">
        <is>
          <t>триста шестьдесят пять</t>
        </is>
      </c>
      <c r="E367" t="inlineStr">
        <is>
          <t>тысяч</t>
        </is>
      </c>
      <c r="F367" t="inlineStr">
        <is>
          <t>копеек</t>
        </is>
      </c>
    </row>
    <row r="368">
      <c r="A368" t="n">
        <v>366</v>
      </c>
      <c r="B368" t="inlineStr">
        <is>
          <t>триста шестьдесят шесть</t>
        </is>
      </c>
      <c r="C368" t="inlineStr">
        <is>
          <t>рублей</t>
        </is>
      </c>
      <c r="D368" t="inlineStr">
        <is>
          <t>триста шестьдесят шесть</t>
        </is>
      </c>
      <c r="E368" t="inlineStr">
        <is>
          <t>тысяч</t>
        </is>
      </c>
      <c r="F368" t="inlineStr">
        <is>
          <t>копеек</t>
        </is>
      </c>
    </row>
    <row r="369">
      <c r="A369" t="n">
        <v>367</v>
      </c>
      <c r="B369" t="inlineStr">
        <is>
          <t>триста шестьдесят семь</t>
        </is>
      </c>
      <c r="C369" t="inlineStr">
        <is>
          <t>рублей</t>
        </is>
      </c>
      <c r="D369" t="inlineStr">
        <is>
          <t>триста шестьдесят семь</t>
        </is>
      </c>
      <c r="E369" t="inlineStr">
        <is>
          <t>тысяч</t>
        </is>
      </c>
      <c r="F369" t="inlineStr">
        <is>
          <t>копеек</t>
        </is>
      </c>
    </row>
    <row r="370">
      <c r="A370" t="n">
        <v>368</v>
      </c>
      <c r="B370" t="inlineStr">
        <is>
          <t>триста шестьдесят восемь</t>
        </is>
      </c>
      <c r="C370" t="inlineStr">
        <is>
          <t>рублей</t>
        </is>
      </c>
      <c r="D370" t="inlineStr">
        <is>
          <t>триста шестьдесят восемь</t>
        </is>
      </c>
      <c r="E370" t="inlineStr">
        <is>
          <t>тысяч</t>
        </is>
      </c>
      <c r="F370" t="inlineStr">
        <is>
          <t>копеек</t>
        </is>
      </c>
    </row>
    <row r="371">
      <c r="A371" t="n">
        <v>369</v>
      </c>
      <c r="B371" t="inlineStr">
        <is>
          <t>триста шестьдесят девять</t>
        </is>
      </c>
      <c r="C371" t="inlineStr">
        <is>
          <t>рублей</t>
        </is>
      </c>
      <c r="D371" t="inlineStr">
        <is>
          <t>триста шестьдесят девять</t>
        </is>
      </c>
      <c r="E371" t="inlineStr">
        <is>
          <t>тысяч</t>
        </is>
      </c>
      <c r="F371" t="inlineStr">
        <is>
          <t>копеек</t>
        </is>
      </c>
    </row>
    <row r="372">
      <c r="A372" t="n">
        <v>370</v>
      </c>
      <c r="B372" t="inlineStr">
        <is>
          <t>триста семьдесят</t>
        </is>
      </c>
      <c r="C372" t="inlineStr">
        <is>
          <t>рублей</t>
        </is>
      </c>
      <c r="D372" t="inlineStr">
        <is>
          <t>триста семьдесят</t>
        </is>
      </c>
      <c r="E372" t="inlineStr">
        <is>
          <t>тысяч</t>
        </is>
      </c>
      <c r="F372" t="inlineStr">
        <is>
          <t>копеек</t>
        </is>
      </c>
    </row>
    <row r="373">
      <c r="A373" t="n">
        <v>371</v>
      </c>
      <c r="B373" t="inlineStr">
        <is>
          <t>триста семьдесят один</t>
        </is>
      </c>
      <c r="C373" t="inlineStr">
        <is>
          <t>рубль</t>
        </is>
      </c>
      <c r="D373" t="inlineStr">
        <is>
          <t>триста семьдесят одна</t>
        </is>
      </c>
      <c r="E373" t="inlineStr">
        <is>
          <t>тысяча</t>
        </is>
      </c>
      <c r="F373" t="inlineStr">
        <is>
          <t>копейка</t>
        </is>
      </c>
    </row>
    <row r="374">
      <c r="A374" t="n">
        <v>372</v>
      </c>
      <c r="B374" t="inlineStr">
        <is>
          <t>триста семьдесят два</t>
        </is>
      </c>
      <c r="C374" t="inlineStr">
        <is>
          <t>рубля</t>
        </is>
      </c>
      <c r="D374" t="inlineStr">
        <is>
          <t>триста семьдесят две</t>
        </is>
      </c>
      <c r="E374" t="inlineStr">
        <is>
          <t>тысячи</t>
        </is>
      </c>
      <c r="F374" t="inlineStr">
        <is>
          <t>копейки</t>
        </is>
      </c>
    </row>
    <row r="375">
      <c r="A375" t="n">
        <v>373</v>
      </c>
      <c r="B375" t="inlineStr">
        <is>
          <t>триста семьдесят три</t>
        </is>
      </c>
      <c r="C375" t="inlineStr">
        <is>
          <t>рубля</t>
        </is>
      </c>
      <c r="D375" t="inlineStr">
        <is>
          <t>триста семьдесят три</t>
        </is>
      </c>
      <c r="E375" t="inlineStr">
        <is>
          <t>тысячи</t>
        </is>
      </c>
      <c r="F375" t="inlineStr">
        <is>
          <t>копейки</t>
        </is>
      </c>
    </row>
    <row r="376">
      <c r="A376" t="n">
        <v>374</v>
      </c>
      <c r="B376" t="inlineStr">
        <is>
          <t>триста семьдесят четыре</t>
        </is>
      </c>
      <c r="C376" t="inlineStr">
        <is>
          <t>рубля</t>
        </is>
      </c>
      <c r="D376" t="inlineStr">
        <is>
          <t>триста семьдесят четыре</t>
        </is>
      </c>
      <c r="E376" t="inlineStr">
        <is>
          <t>тысячи</t>
        </is>
      </c>
      <c r="F376" t="inlineStr">
        <is>
          <t>копейки</t>
        </is>
      </c>
    </row>
    <row r="377">
      <c r="A377" t="n">
        <v>375</v>
      </c>
      <c r="B377" t="inlineStr">
        <is>
          <t>триста семьдесят пять</t>
        </is>
      </c>
      <c r="C377" t="inlineStr">
        <is>
          <t>рублей</t>
        </is>
      </c>
      <c r="D377" t="inlineStr">
        <is>
          <t>триста семьдесят пять</t>
        </is>
      </c>
      <c r="E377" t="inlineStr">
        <is>
          <t>тысяч</t>
        </is>
      </c>
      <c r="F377" t="inlineStr">
        <is>
          <t>копеек</t>
        </is>
      </c>
    </row>
    <row r="378">
      <c r="A378" t="n">
        <v>376</v>
      </c>
      <c r="B378" t="inlineStr">
        <is>
          <t>триста семьдесят шесть</t>
        </is>
      </c>
      <c r="C378" t="inlineStr">
        <is>
          <t>рублей</t>
        </is>
      </c>
      <c r="D378" t="inlineStr">
        <is>
          <t>триста семьдесят шесть</t>
        </is>
      </c>
      <c r="E378" t="inlineStr">
        <is>
          <t>тысяч</t>
        </is>
      </c>
      <c r="F378" t="inlineStr">
        <is>
          <t>копеек</t>
        </is>
      </c>
    </row>
    <row r="379">
      <c r="A379" t="n">
        <v>377</v>
      </c>
      <c r="B379" t="inlineStr">
        <is>
          <t>триста семьдесят семь</t>
        </is>
      </c>
      <c r="C379" t="inlineStr">
        <is>
          <t>рублей</t>
        </is>
      </c>
      <c r="D379" t="inlineStr">
        <is>
          <t>триста семьдесят семь</t>
        </is>
      </c>
      <c r="E379" t="inlineStr">
        <is>
          <t>тысяч</t>
        </is>
      </c>
      <c r="F379" t="inlineStr">
        <is>
          <t>копеек</t>
        </is>
      </c>
    </row>
    <row r="380">
      <c r="A380" t="n">
        <v>378</v>
      </c>
      <c r="B380" t="inlineStr">
        <is>
          <t>триста семьдесят восемь</t>
        </is>
      </c>
      <c r="C380" t="inlineStr">
        <is>
          <t>рублей</t>
        </is>
      </c>
      <c r="D380" t="inlineStr">
        <is>
          <t>триста семьдесят восемь</t>
        </is>
      </c>
      <c r="E380" t="inlineStr">
        <is>
          <t>тысяч</t>
        </is>
      </c>
      <c r="F380" t="inlineStr">
        <is>
          <t>копеек</t>
        </is>
      </c>
    </row>
    <row r="381">
      <c r="A381" t="n">
        <v>379</v>
      </c>
      <c r="B381" t="inlineStr">
        <is>
          <t>триста семьдесят девять</t>
        </is>
      </c>
      <c r="C381" t="inlineStr">
        <is>
          <t>рублей</t>
        </is>
      </c>
      <c r="D381" t="inlineStr">
        <is>
          <t>триста семьдесят девять</t>
        </is>
      </c>
      <c r="E381" t="inlineStr">
        <is>
          <t>тысяч</t>
        </is>
      </c>
      <c r="F381" t="inlineStr">
        <is>
          <t>копеек</t>
        </is>
      </c>
    </row>
    <row r="382">
      <c r="A382" t="n">
        <v>380</v>
      </c>
      <c r="B382" t="inlineStr">
        <is>
          <t>триста восемьдесят</t>
        </is>
      </c>
      <c r="C382" t="inlineStr">
        <is>
          <t>рублей</t>
        </is>
      </c>
      <c r="D382" t="inlineStr">
        <is>
          <t>триста восемьдесят</t>
        </is>
      </c>
      <c r="E382" t="inlineStr">
        <is>
          <t>тысяч</t>
        </is>
      </c>
      <c r="F382" t="inlineStr">
        <is>
          <t>копеек</t>
        </is>
      </c>
    </row>
    <row r="383">
      <c r="A383" t="n">
        <v>381</v>
      </c>
      <c r="B383" t="inlineStr">
        <is>
          <t>триста восемьдесят один</t>
        </is>
      </c>
      <c r="C383" t="inlineStr">
        <is>
          <t>рубль</t>
        </is>
      </c>
      <c r="D383" t="inlineStr">
        <is>
          <t>триста восемьдесят одна</t>
        </is>
      </c>
      <c r="E383" t="inlineStr">
        <is>
          <t>тысяча</t>
        </is>
      </c>
      <c r="F383" t="inlineStr">
        <is>
          <t>копейка</t>
        </is>
      </c>
    </row>
    <row r="384">
      <c r="A384" t="n">
        <v>382</v>
      </c>
      <c r="B384" t="inlineStr">
        <is>
          <t>триста восемьдесят два</t>
        </is>
      </c>
      <c r="C384" t="inlineStr">
        <is>
          <t>рубля</t>
        </is>
      </c>
      <c r="D384" t="inlineStr">
        <is>
          <t>триста восемьдесят две</t>
        </is>
      </c>
      <c r="E384" t="inlineStr">
        <is>
          <t>тысячи</t>
        </is>
      </c>
      <c r="F384" t="inlineStr">
        <is>
          <t>копейки</t>
        </is>
      </c>
    </row>
    <row r="385">
      <c r="A385" t="n">
        <v>383</v>
      </c>
      <c r="B385" t="inlineStr">
        <is>
          <t>триста восемьдесят три</t>
        </is>
      </c>
      <c r="C385" t="inlineStr">
        <is>
          <t>рубля</t>
        </is>
      </c>
      <c r="D385" t="inlineStr">
        <is>
          <t>триста восемьдесят три</t>
        </is>
      </c>
      <c r="E385" t="inlineStr">
        <is>
          <t>тысячи</t>
        </is>
      </c>
      <c r="F385" t="inlineStr">
        <is>
          <t>копейки</t>
        </is>
      </c>
    </row>
    <row r="386">
      <c r="A386" t="n">
        <v>384</v>
      </c>
      <c r="B386" t="inlineStr">
        <is>
          <t>триста восемьдесят четыре</t>
        </is>
      </c>
      <c r="C386" t="inlineStr">
        <is>
          <t>рубля</t>
        </is>
      </c>
      <c r="D386" t="inlineStr">
        <is>
          <t>триста восемьдесят четыре</t>
        </is>
      </c>
      <c r="E386" t="inlineStr">
        <is>
          <t>тысячи</t>
        </is>
      </c>
      <c r="F386" t="inlineStr">
        <is>
          <t>копейки</t>
        </is>
      </c>
    </row>
    <row r="387">
      <c r="A387" t="n">
        <v>385</v>
      </c>
      <c r="B387" t="inlineStr">
        <is>
          <t>триста восемьдесят пять</t>
        </is>
      </c>
      <c r="C387" t="inlineStr">
        <is>
          <t>рублей</t>
        </is>
      </c>
      <c r="D387" t="inlineStr">
        <is>
          <t>триста восемьдесят пять</t>
        </is>
      </c>
      <c r="E387" t="inlineStr">
        <is>
          <t>тысяч</t>
        </is>
      </c>
      <c r="F387" t="inlineStr">
        <is>
          <t>копеек</t>
        </is>
      </c>
    </row>
    <row r="388">
      <c r="A388" t="n">
        <v>386</v>
      </c>
      <c r="B388" t="inlineStr">
        <is>
          <t>триста восемьдесят шесть</t>
        </is>
      </c>
      <c r="C388" t="inlineStr">
        <is>
          <t>рублей</t>
        </is>
      </c>
      <c r="D388" t="inlineStr">
        <is>
          <t>триста восемьдесят шесть</t>
        </is>
      </c>
      <c r="E388" t="inlineStr">
        <is>
          <t>тысяч</t>
        </is>
      </c>
      <c r="F388" t="inlineStr">
        <is>
          <t>копеек</t>
        </is>
      </c>
    </row>
    <row r="389">
      <c r="A389" t="n">
        <v>387</v>
      </c>
      <c r="B389" t="inlineStr">
        <is>
          <t>триста восемьдесят семь</t>
        </is>
      </c>
      <c r="C389" t="inlineStr">
        <is>
          <t>рублей</t>
        </is>
      </c>
      <c r="D389" t="inlineStr">
        <is>
          <t>триста восемьдесят семь</t>
        </is>
      </c>
      <c r="E389" t="inlineStr">
        <is>
          <t>тысяч</t>
        </is>
      </c>
      <c r="F389" t="inlineStr">
        <is>
          <t>копеек</t>
        </is>
      </c>
    </row>
    <row r="390">
      <c r="A390" t="n">
        <v>388</v>
      </c>
      <c r="B390" t="inlineStr">
        <is>
          <t>триста восемьдесят восемь</t>
        </is>
      </c>
      <c r="C390" t="inlineStr">
        <is>
          <t>рублей</t>
        </is>
      </c>
      <c r="D390" t="inlineStr">
        <is>
          <t>триста восемьдесят восемь</t>
        </is>
      </c>
      <c r="E390" t="inlineStr">
        <is>
          <t>тысяч</t>
        </is>
      </c>
      <c r="F390" t="inlineStr">
        <is>
          <t>копеек</t>
        </is>
      </c>
    </row>
    <row r="391">
      <c r="A391" t="n">
        <v>389</v>
      </c>
      <c r="B391" t="inlineStr">
        <is>
          <t>триста восемьдесят девять</t>
        </is>
      </c>
      <c r="C391" t="inlineStr">
        <is>
          <t>рублей</t>
        </is>
      </c>
      <c r="D391" t="inlineStr">
        <is>
          <t>триста восемьдесят девять</t>
        </is>
      </c>
      <c r="E391" t="inlineStr">
        <is>
          <t>тысяч</t>
        </is>
      </c>
      <c r="F391" t="inlineStr">
        <is>
          <t>копеек</t>
        </is>
      </c>
    </row>
    <row r="392">
      <c r="A392" t="n">
        <v>390</v>
      </c>
      <c r="B392" t="inlineStr">
        <is>
          <t>триста девяносто</t>
        </is>
      </c>
      <c r="C392" t="inlineStr">
        <is>
          <t>рублей</t>
        </is>
      </c>
      <c r="D392" t="inlineStr">
        <is>
          <t>триста девяносто</t>
        </is>
      </c>
      <c r="E392" t="inlineStr">
        <is>
          <t>тысяч</t>
        </is>
      </c>
      <c r="F392" t="inlineStr">
        <is>
          <t>копеек</t>
        </is>
      </c>
    </row>
    <row r="393">
      <c r="A393" t="n">
        <v>391</v>
      </c>
      <c r="B393" t="inlineStr">
        <is>
          <t>триста девяносто один</t>
        </is>
      </c>
      <c r="C393" t="inlineStr">
        <is>
          <t>рубль</t>
        </is>
      </c>
      <c r="D393" t="inlineStr">
        <is>
          <t>триста девяносто одна</t>
        </is>
      </c>
      <c r="E393" t="inlineStr">
        <is>
          <t>тысяча</t>
        </is>
      </c>
      <c r="F393" t="inlineStr">
        <is>
          <t>копейка</t>
        </is>
      </c>
    </row>
    <row r="394">
      <c r="A394" t="n">
        <v>392</v>
      </c>
      <c r="B394" t="inlineStr">
        <is>
          <t>триста девяносто два</t>
        </is>
      </c>
      <c r="C394" t="inlineStr">
        <is>
          <t>рубля</t>
        </is>
      </c>
      <c r="D394" t="inlineStr">
        <is>
          <t>триста девяносто две</t>
        </is>
      </c>
      <c r="E394" t="inlineStr">
        <is>
          <t>тысячи</t>
        </is>
      </c>
      <c r="F394" t="inlineStr">
        <is>
          <t>копейки</t>
        </is>
      </c>
    </row>
    <row r="395">
      <c r="A395" t="n">
        <v>393</v>
      </c>
      <c r="B395" t="inlineStr">
        <is>
          <t>триста девяносто три</t>
        </is>
      </c>
      <c r="C395" t="inlineStr">
        <is>
          <t>рубля</t>
        </is>
      </c>
      <c r="D395" t="inlineStr">
        <is>
          <t>триста девяносто три</t>
        </is>
      </c>
      <c r="E395" t="inlineStr">
        <is>
          <t>тысячи</t>
        </is>
      </c>
      <c r="F395" t="inlineStr">
        <is>
          <t>копейки</t>
        </is>
      </c>
    </row>
    <row r="396">
      <c r="A396" t="n">
        <v>394</v>
      </c>
      <c r="B396" t="inlineStr">
        <is>
          <t>триста девяносто четыре</t>
        </is>
      </c>
      <c r="C396" t="inlineStr">
        <is>
          <t>рубля</t>
        </is>
      </c>
      <c r="D396" t="inlineStr">
        <is>
          <t>триста девяносто четыре</t>
        </is>
      </c>
      <c r="E396" t="inlineStr">
        <is>
          <t>тысячи</t>
        </is>
      </c>
      <c r="F396" t="inlineStr">
        <is>
          <t>копейки</t>
        </is>
      </c>
    </row>
    <row r="397">
      <c r="A397" t="n">
        <v>395</v>
      </c>
      <c r="B397" t="inlineStr">
        <is>
          <t>триста девяносто пять</t>
        </is>
      </c>
      <c r="C397" t="inlineStr">
        <is>
          <t>рублей</t>
        </is>
      </c>
      <c r="D397" t="inlineStr">
        <is>
          <t>триста девяносто пять</t>
        </is>
      </c>
      <c r="E397" t="inlineStr">
        <is>
          <t>тысяч</t>
        </is>
      </c>
      <c r="F397" t="inlineStr">
        <is>
          <t>копеек</t>
        </is>
      </c>
    </row>
    <row r="398">
      <c r="A398" t="n">
        <v>396</v>
      </c>
      <c r="B398" t="inlineStr">
        <is>
          <t>триста девяносто шесть</t>
        </is>
      </c>
      <c r="C398" t="inlineStr">
        <is>
          <t>рублей</t>
        </is>
      </c>
      <c r="D398" t="inlineStr">
        <is>
          <t>триста девяносто шесть</t>
        </is>
      </c>
      <c r="E398" t="inlineStr">
        <is>
          <t>тысяч</t>
        </is>
      </c>
      <c r="F398" t="inlineStr">
        <is>
          <t>копеек</t>
        </is>
      </c>
    </row>
    <row r="399">
      <c r="A399" t="n">
        <v>397</v>
      </c>
      <c r="B399" t="inlineStr">
        <is>
          <t>триста девяносто семь</t>
        </is>
      </c>
      <c r="C399" t="inlineStr">
        <is>
          <t>рублей</t>
        </is>
      </c>
      <c r="D399" t="inlineStr">
        <is>
          <t>триста девяносто семь</t>
        </is>
      </c>
      <c r="E399" t="inlineStr">
        <is>
          <t>тысяч</t>
        </is>
      </c>
      <c r="F399" t="inlineStr">
        <is>
          <t>копеек</t>
        </is>
      </c>
    </row>
    <row r="400">
      <c r="A400" t="n">
        <v>398</v>
      </c>
      <c r="B400" t="inlineStr">
        <is>
          <t>триста девяносто восемь</t>
        </is>
      </c>
      <c r="C400" t="inlineStr">
        <is>
          <t>рублей</t>
        </is>
      </c>
      <c r="D400" t="inlineStr">
        <is>
          <t>триста девяносто восемь</t>
        </is>
      </c>
      <c r="E400" t="inlineStr">
        <is>
          <t>тысяч</t>
        </is>
      </c>
      <c r="F400" t="inlineStr">
        <is>
          <t>копеек</t>
        </is>
      </c>
    </row>
    <row r="401">
      <c r="A401" t="n">
        <v>399</v>
      </c>
      <c r="B401" t="inlineStr">
        <is>
          <t>триста девяносто девять</t>
        </is>
      </c>
      <c r="C401" t="inlineStr">
        <is>
          <t>рублей</t>
        </is>
      </c>
      <c r="D401" t="inlineStr">
        <is>
          <t>триста девяносто девять</t>
        </is>
      </c>
      <c r="E401" t="inlineStr">
        <is>
          <t>тысяч</t>
        </is>
      </c>
      <c r="F401" t="inlineStr">
        <is>
          <t>копеек</t>
        </is>
      </c>
    </row>
    <row r="402">
      <c r="A402" t="n">
        <v>400</v>
      </c>
      <c r="B402" t="inlineStr">
        <is>
          <t>четыреста</t>
        </is>
      </c>
      <c r="C402" t="inlineStr">
        <is>
          <t>рублей</t>
        </is>
      </c>
      <c r="D402" t="inlineStr">
        <is>
          <t>четыреста</t>
        </is>
      </c>
      <c r="E402" t="inlineStr">
        <is>
          <t>тысяч</t>
        </is>
      </c>
      <c r="F402" t="inlineStr">
        <is>
          <t>копеек</t>
        </is>
      </c>
    </row>
    <row r="403">
      <c r="A403" t="n">
        <v>401</v>
      </c>
      <c r="B403" t="inlineStr">
        <is>
          <t>четыреста один</t>
        </is>
      </c>
      <c r="C403" t="inlineStr">
        <is>
          <t>рубль</t>
        </is>
      </c>
      <c r="D403" t="inlineStr">
        <is>
          <t>четыреста одна</t>
        </is>
      </c>
      <c r="E403" t="inlineStr">
        <is>
          <t>тысяча</t>
        </is>
      </c>
      <c r="F403" t="inlineStr">
        <is>
          <t>копейка</t>
        </is>
      </c>
    </row>
    <row r="404">
      <c r="A404" t="n">
        <v>402</v>
      </c>
      <c r="B404" t="inlineStr">
        <is>
          <t>четыреста два</t>
        </is>
      </c>
      <c r="C404" t="inlineStr">
        <is>
          <t>рубля</t>
        </is>
      </c>
      <c r="D404" t="inlineStr">
        <is>
          <t>четыреста две</t>
        </is>
      </c>
      <c r="E404" t="inlineStr">
        <is>
          <t>тысячи</t>
        </is>
      </c>
      <c r="F404" t="inlineStr">
        <is>
          <t>копейки</t>
        </is>
      </c>
    </row>
    <row r="405">
      <c r="A405" t="n">
        <v>403</v>
      </c>
      <c r="B405" t="inlineStr">
        <is>
          <t>четыреста три</t>
        </is>
      </c>
      <c r="C405" t="inlineStr">
        <is>
          <t>рубля</t>
        </is>
      </c>
      <c r="D405" t="inlineStr">
        <is>
          <t>четыреста три</t>
        </is>
      </c>
      <c r="E405" t="inlineStr">
        <is>
          <t>тысячи</t>
        </is>
      </c>
      <c r="F405" t="inlineStr">
        <is>
          <t>копейки</t>
        </is>
      </c>
    </row>
    <row r="406">
      <c r="A406" t="n">
        <v>404</v>
      </c>
      <c r="B406" t="inlineStr">
        <is>
          <t>четыреста четыре</t>
        </is>
      </c>
      <c r="C406" t="inlineStr">
        <is>
          <t>рубля</t>
        </is>
      </c>
      <c r="D406" t="inlineStr">
        <is>
          <t>четыреста четыре</t>
        </is>
      </c>
      <c r="E406" t="inlineStr">
        <is>
          <t>тысячи</t>
        </is>
      </c>
      <c r="F406" t="inlineStr">
        <is>
          <t>копейки</t>
        </is>
      </c>
    </row>
    <row r="407">
      <c r="A407" t="n">
        <v>405</v>
      </c>
      <c r="B407" t="inlineStr">
        <is>
          <t>четыреста пять</t>
        </is>
      </c>
      <c r="C407" t="inlineStr">
        <is>
          <t>рублей</t>
        </is>
      </c>
      <c r="D407" t="inlineStr">
        <is>
          <t>четыреста пять</t>
        </is>
      </c>
      <c r="E407" t="inlineStr">
        <is>
          <t>тысяч</t>
        </is>
      </c>
      <c r="F407" t="inlineStr">
        <is>
          <t>копеек</t>
        </is>
      </c>
    </row>
    <row r="408">
      <c r="A408" t="n">
        <v>406</v>
      </c>
      <c r="B408" t="inlineStr">
        <is>
          <t>четыреста шесть</t>
        </is>
      </c>
      <c r="C408" t="inlineStr">
        <is>
          <t>рублей</t>
        </is>
      </c>
      <c r="D408" t="inlineStr">
        <is>
          <t>четыреста шесть</t>
        </is>
      </c>
      <c r="E408" t="inlineStr">
        <is>
          <t>тысяч</t>
        </is>
      </c>
      <c r="F408" t="inlineStr">
        <is>
          <t>копеек</t>
        </is>
      </c>
    </row>
    <row r="409">
      <c r="A409" t="n">
        <v>407</v>
      </c>
      <c r="B409" t="inlineStr">
        <is>
          <t>четыреста семь</t>
        </is>
      </c>
      <c r="C409" t="inlineStr">
        <is>
          <t>рублей</t>
        </is>
      </c>
      <c r="D409" t="inlineStr">
        <is>
          <t>четыреста семь</t>
        </is>
      </c>
      <c r="E409" t="inlineStr">
        <is>
          <t>тысяч</t>
        </is>
      </c>
      <c r="F409" t="inlineStr">
        <is>
          <t>копеек</t>
        </is>
      </c>
    </row>
    <row r="410">
      <c r="A410" t="n">
        <v>408</v>
      </c>
      <c r="B410" t="inlineStr">
        <is>
          <t>четыреста восемь</t>
        </is>
      </c>
      <c r="C410" t="inlineStr">
        <is>
          <t>рублей</t>
        </is>
      </c>
      <c r="D410" t="inlineStr">
        <is>
          <t>четыреста восемь</t>
        </is>
      </c>
      <c r="E410" t="inlineStr">
        <is>
          <t>тысяч</t>
        </is>
      </c>
      <c r="F410" t="inlineStr">
        <is>
          <t>копеек</t>
        </is>
      </c>
    </row>
    <row r="411">
      <c r="A411" t="n">
        <v>409</v>
      </c>
      <c r="B411" t="inlineStr">
        <is>
          <t>четыреста девять</t>
        </is>
      </c>
      <c r="C411" t="inlineStr">
        <is>
          <t>рублей</t>
        </is>
      </c>
      <c r="D411" t="inlineStr">
        <is>
          <t>четыреста девять</t>
        </is>
      </c>
      <c r="E411" t="inlineStr">
        <is>
          <t>тысяч</t>
        </is>
      </c>
      <c r="F411" t="inlineStr">
        <is>
          <t>копеек</t>
        </is>
      </c>
    </row>
    <row r="412">
      <c r="A412" t="n">
        <v>410</v>
      </c>
      <c r="B412" t="inlineStr">
        <is>
          <t>четыреста десять</t>
        </is>
      </c>
      <c r="C412" t="inlineStr">
        <is>
          <t>рублей</t>
        </is>
      </c>
      <c r="D412" t="inlineStr">
        <is>
          <t>четыреста десять</t>
        </is>
      </c>
      <c r="E412" t="inlineStr">
        <is>
          <t>тысяч</t>
        </is>
      </c>
      <c r="F412" t="inlineStr">
        <is>
          <t>копеек</t>
        </is>
      </c>
    </row>
    <row r="413">
      <c r="A413" t="n">
        <v>411</v>
      </c>
      <c r="B413" t="inlineStr">
        <is>
          <t>четыреста одиннадцать</t>
        </is>
      </c>
      <c r="C413" t="inlineStr">
        <is>
          <t>рублей</t>
        </is>
      </c>
      <c r="D413" t="inlineStr">
        <is>
          <t>четыреста одиннадцать</t>
        </is>
      </c>
      <c r="E413" t="inlineStr">
        <is>
          <t>тысяч</t>
        </is>
      </c>
      <c r="F413" t="inlineStr">
        <is>
          <t>копеек</t>
        </is>
      </c>
    </row>
    <row r="414">
      <c r="A414" t="n">
        <v>412</v>
      </c>
      <c r="B414" t="inlineStr">
        <is>
          <t>четыреста двенадцать</t>
        </is>
      </c>
      <c r="C414" t="inlineStr">
        <is>
          <t>рублей</t>
        </is>
      </c>
      <c r="D414" t="inlineStr">
        <is>
          <t>четыреста двенадцать</t>
        </is>
      </c>
      <c r="E414" t="inlineStr">
        <is>
          <t>тысяч</t>
        </is>
      </c>
      <c r="F414" t="inlineStr">
        <is>
          <t>копеек</t>
        </is>
      </c>
    </row>
    <row r="415">
      <c r="A415" t="n">
        <v>413</v>
      </c>
      <c r="B415" t="inlineStr">
        <is>
          <t>четыреста тринадцать</t>
        </is>
      </c>
      <c r="C415" t="inlineStr">
        <is>
          <t>рублей</t>
        </is>
      </c>
      <c r="D415" t="inlineStr">
        <is>
          <t>четыреста тринадцать</t>
        </is>
      </c>
      <c r="E415" t="inlineStr">
        <is>
          <t>тысяч</t>
        </is>
      </c>
      <c r="F415" t="inlineStr">
        <is>
          <t>копеек</t>
        </is>
      </c>
    </row>
    <row r="416">
      <c r="A416" t="n">
        <v>414</v>
      </c>
      <c r="B416" t="inlineStr">
        <is>
          <t>четыреста четырнадцать</t>
        </is>
      </c>
      <c r="C416" t="inlineStr">
        <is>
          <t>рублей</t>
        </is>
      </c>
      <c r="D416" t="inlineStr">
        <is>
          <t>четыреста четырнадцать</t>
        </is>
      </c>
      <c r="E416" t="inlineStr">
        <is>
          <t>тысяч</t>
        </is>
      </c>
      <c r="F416" t="inlineStr">
        <is>
          <t>копеек</t>
        </is>
      </c>
    </row>
    <row r="417">
      <c r="A417" t="n">
        <v>415</v>
      </c>
      <c r="B417" t="inlineStr">
        <is>
          <t>четыреста пятнадцать</t>
        </is>
      </c>
      <c r="C417" t="inlineStr">
        <is>
          <t>рублей</t>
        </is>
      </c>
      <c r="D417" t="inlineStr">
        <is>
          <t>четыреста пятнадцать</t>
        </is>
      </c>
      <c r="E417" t="inlineStr">
        <is>
          <t>тысяч</t>
        </is>
      </c>
      <c r="F417" t="inlineStr">
        <is>
          <t>копеек</t>
        </is>
      </c>
    </row>
    <row r="418">
      <c r="A418" t="n">
        <v>416</v>
      </c>
      <c r="B418" t="inlineStr">
        <is>
          <t>четыреста шестнадцать</t>
        </is>
      </c>
      <c r="C418" t="inlineStr">
        <is>
          <t>рублей</t>
        </is>
      </c>
      <c r="D418" t="inlineStr">
        <is>
          <t>четыреста шестнадцать</t>
        </is>
      </c>
      <c r="E418" t="inlineStr">
        <is>
          <t>тысяч</t>
        </is>
      </c>
      <c r="F418" t="inlineStr">
        <is>
          <t>копеек</t>
        </is>
      </c>
    </row>
    <row r="419">
      <c r="A419" t="n">
        <v>417</v>
      </c>
      <c r="B419" t="inlineStr">
        <is>
          <t>четыреста семнадцать</t>
        </is>
      </c>
      <c r="C419" t="inlineStr">
        <is>
          <t>рублей</t>
        </is>
      </c>
      <c r="D419" t="inlineStr">
        <is>
          <t>четыреста семнадцать</t>
        </is>
      </c>
      <c r="E419" t="inlineStr">
        <is>
          <t>тысяч</t>
        </is>
      </c>
      <c r="F419" t="inlineStr">
        <is>
          <t>копеек</t>
        </is>
      </c>
    </row>
    <row r="420">
      <c r="A420" t="n">
        <v>418</v>
      </c>
      <c r="B420" t="inlineStr">
        <is>
          <t>четыреста восемнадцать</t>
        </is>
      </c>
      <c r="C420" t="inlineStr">
        <is>
          <t>рублей</t>
        </is>
      </c>
      <c r="D420" t="inlineStr">
        <is>
          <t>четыреста восемнадцать</t>
        </is>
      </c>
      <c r="E420" t="inlineStr">
        <is>
          <t>тысяч</t>
        </is>
      </c>
      <c r="F420" t="inlineStr">
        <is>
          <t>копеек</t>
        </is>
      </c>
    </row>
    <row r="421">
      <c r="A421" t="n">
        <v>419</v>
      </c>
      <c r="B421" t="inlineStr">
        <is>
          <t>четыреста девятнадцать</t>
        </is>
      </c>
      <c r="C421" t="inlineStr">
        <is>
          <t>рублей</t>
        </is>
      </c>
      <c r="D421" t="inlineStr">
        <is>
          <t>четыреста девятнадцать</t>
        </is>
      </c>
      <c r="E421" t="inlineStr">
        <is>
          <t>тысяч</t>
        </is>
      </c>
      <c r="F421" t="inlineStr">
        <is>
          <t>копеек</t>
        </is>
      </c>
    </row>
    <row r="422">
      <c r="A422" t="n">
        <v>420</v>
      </c>
      <c r="B422" t="inlineStr">
        <is>
          <t>четыреста двадцать</t>
        </is>
      </c>
      <c r="C422" t="inlineStr">
        <is>
          <t>рублей</t>
        </is>
      </c>
      <c r="D422" t="inlineStr">
        <is>
          <t>четыреста двадцать</t>
        </is>
      </c>
      <c r="E422" t="inlineStr">
        <is>
          <t>тысяч</t>
        </is>
      </c>
      <c r="F422" t="inlineStr">
        <is>
          <t>копеек</t>
        </is>
      </c>
    </row>
    <row r="423">
      <c r="A423" t="n">
        <v>421</v>
      </c>
      <c r="B423" t="inlineStr">
        <is>
          <t>четыреста двадцать один</t>
        </is>
      </c>
      <c r="C423" t="inlineStr">
        <is>
          <t>рубль</t>
        </is>
      </c>
      <c r="D423" t="inlineStr">
        <is>
          <t>четыреста двадцать одна</t>
        </is>
      </c>
      <c r="E423" t="inlineStr">
        <is>
          <t>тысяча</t>
        </is>
      </c>
      <c r="F423" t="inlineStr">
        <is>
          <t>копейка</t>
        </is>
      </c>
    </row>
    <row r="424">
      <c r="A424" t="n">
        <v>422</v>
      </c>
      <c r="B424" t="inlineStr">
        <is>
          <t>четыреста двадцать два</t>
        </is>
      </c>
      <c r="C424" t="inlineStr">
        <is>
          <t>рубля</t>
        </is>
      </c>
      <c r="D424" t="inlineStr">
        <is>
          <t>четыреста двадцать две</t>
        </is>
      </c>
      <c r="E424" t="inlineStr">
        <is>
          <t>тысячи</t>
        </is>
      </c>
      <c r="F424" t="inlineStr">
        <is>
          <t>копейки</t>
        </is>
      </c>
    </row>
    <row r="425">
      <c r="A425" t="n">
        <v>423</v>
      </c>
      <c r="B425" t="inlineStr">
        <is>
          <t>четыреста двадцать три</t>
        </is>
      </c>
      <c r="C425" t="inlineStr">
        <is>
          <t>рубля</t>
        </is>
      </c>
      <c r="D425" t="inlineStr">
        <is>
          <t>четыреста двадцать три</t>
        </is>
      </c>
      <c r="E425" t="inlineStr">
        <is>
          <t>тысячи</t>
        </is>
      </c>
      <c r="F425" t="inlineStr">
        <is>
          <t>копейки</t>
        </is>
      </c>
    </row>
    <row r="426">
      <c r="A426" t="n">
        <v>424</v>
      </c>
      <c r="B426" t="inlineStr">
        <is>
          <t>четыреста двадцать четыре</t>
        </is>
      </c>
      <c r="C426" t="inlineStr">
        <is>
          <t>рубля</t>
        </is>
      </c>
      <c r="D426" t="inlineStr">
        <is>
          <t>четыреста двадцать четыре</t>
        </is>
      </c>
      <c r="E426" t="inlineStr">
        <is>
          <t>тысячи</t>
        </is>
      </c>
      <c r="F426" t="inlineStr">
        <is>
          <t>копейки</t>
        </is>
      </c>
    </row>
    <row r="427">
      <c r="A427" t="n">
        <v>425</v>
      </c>
      <c r="B427" t="inlineStr">
        <is>
          <t>четыреста двадцать пять</t>
        </is>
      </c>
      <c r="C427" t="inlineStr">
        <is>
          <t>рублей</t>
        </is>
      </c>
      <c r="D427" t="inlineStr">
        <is>
          <t>четыреста двадцать пять</t>
        </is>
      </c>
      <c r="E427" t="inlineStr">
        <is>
          <t>тысяч</t>
        </is>
      </c>
      <c r="F427" t="inlineStr">
        <is>
          <t>копеек</t>
        </is>
      </c>
    </row>
    <row r="428">
      <c r="A428" t="n">
        <v>426</v>
      </c>
      <c r="B428" t="inlineStr">
        <is>
          <t>четыреста двадцать шесть</t>
        </is>
      </c>
      <c r="C428" t="inlineStr">
        <is>
          <t>рублей</t>
        </is>
      </c>
      <c r="D428" t="inlineStr">
        <is>
          <t>четыреста двадцать шесть</t>
        </is>
      </c>
      <c r="E428" t="inlineStr">
        <is>
          <t>тысяч</t>
        </is>
      </c>
      <c r="F428" t="inlineStr">
        <is>
          <t>копеек</t>
        </is>
      </c>
    </row>
    <row r="429">
      <c r="A429" t="n">
        <v>427</v>
      </c>
      <c r="B429" t="inlineStr">
        <is>
          <t>четыреста двадцать семь</t>
        </is>
      </c>
      <c r="C429" t="inlineStr">
        <is>
          <t>рублей</t>
        </is>
      </c>
      <c r="D429" t="inlineStr">
        <is>
          <t>четыреста двадцать семь</t>
        </is>
      </c>
      <c r="E429" t="inlineStr">
        <is>
          <t>тысяч</t>
        </is>
      </c>
      <c r="F429" t="inlineStr">
        <is>
          <t>копеек</t>
        </is>
      </c>
    </row>
    <row r="430">
      <c r="A430" t="n">
        <v>428</v>
      </c>
      <c r="B430" t="inlineStr">
        <is>
          <t>четыреста двадцать восемь</t>
        </is>
      </c>
      <c r="C430" t="inlineStr">
        <is>
          <t>рублей</t>
        </is>
      </c>
      <c r="D430" t="inlineStr">
        <is>
          <t>четыреста двадцать восемь</t>
        </is>
      </c>
      <c r="E430" t="inlineStr">
        <is>
          <t>тысяч</t>
        </is>
      </c>
      <c r="F430" t="inlineStr">
        <is>
          <t>копеек</t>
        </is>
      </c>
    </row>
    <row r="431">
      <c r="A431" t="n">
        <v>429</v>
      </c>
      <c r="B431" t="inlineStr">
        <is>
          <t>четыреста двадцать девять</t>
        </is>
      </c>
      <c r="C431" t="inlineStr">
        <is>
          <t>рублей</t>
        </is>
      </c>
      <c r="D431" t="inlineStr">
        <is>
          <t>четыреста двадцать девять</t>
        </is>
      </c>
      <c r="E431" t="inlineStr">
        <is>
          <t>тысяч</t>
        </is>
      </c>
      <c r="F431" t="inlineStr">
        <is>
          <t>копеек</t>
        </is>
      </c>
    </row>
    <row r="432">
      <c r="A432" t="n">
        <v>430</v>
      </c>
      <c r="B432" t="inlineStr">
        <is>
          <t>четыреста тридцать</t>
        </is>
      </c>
      <c r="C432" t="inlineStr">
        <is>
          <t>рублей</t>
        </is>
      </c>
      <c r="D432" t="inlineStr">
        <is>
          <t>четыреста тридцать</t>
        </is>
      </c>
      <c r="E432" t="inlineStr">
        <is>
          <t>тысяч</t>
        </is>
      </c>
      <c r="F432" t="inlineStr">
        <is>
          <t>копеек</t>
        </is>
      </c>
    </row>
    <row r="433">
      <c r="A433" t="n">
        <v>431</v>
      </c>
      <c r="B433" t="inlineStr">
        <is>
          <t>четыреста тридцать один</t>
        </is>
      </c>
      <c r="C433" t="inlineStr">
        <is>
          <t>рубль</t>
        </is>
      </c>
      <c r="D433" t="inlineStr">
        <is>
          <t>четыреста тридцать одна</t>
        </is>
      </c>
      <c r="E433" t="inlineStr">
        <is>
          <t>тысяча</t>
        </is>
      </c>
      <c r="F433" t="inlineStr">
        <is>
          <t>копейка</t>
        </is>
      </c>
    </row>
    <row r="434">
      <c r="A434" t="n">
        <v>432</v>
      </c>
      <c r="B434" t="inlineStr">
        <is>
          <t>четыреста тридцать два</t>
        </is>
      </c>
      <c r="C434" t="inlineStr">
        <is>
          <t>рубля</t>
        </is>
      </c>
      <c r="D434" t="inlineStr">
        <is>
          <t>четыреста тридцать две</t>
        </is>
      </c>
      <c r="E434" t="inlineStr">
        <is>
          <t>тысячи</t>
        </is>
      </c>
      <c r="F434" t="inlineStr">
        <is>
          <t>копейки</t>
        </is>
      </c>
    </row>
    <row r="435">
      <c r="A435" t="n">
        <v>433</v>
      </c>
      <c r="B435" t="inlineStr">
        <is>
          <t>четыреста тридцать три</t>
        </is>
      </c>
      <c r="C435" t="inlineStr">
        <is>
          <t>рубля</t>
        </is>
      </c>
      <c r="D435" t="inlineStr">
        <is>
          <t>четыреста тридцать три</t>
        </is>
      </c>
      <c r="E435" t="inlineStr">
        <is>
          <t>тысячи</t>
        </is>
      </c>
      <c r="F435" t="inlineStr">
        <is>
          <t>копейки</t>
        </is>
      </c>
    </row>
    <row r="436">
      <c r="A436" t="n">
        <v>434</v>
      </c>
      <c r="B436" t="inlineStr">
        <is>
          <t>четыреста тридцать четыре</t>
        </is>
      </c>
      <c r="C436" t="inlineStr">
        <is>
          <t>рубля</t>
        </is>
      </c>
      <c r="D436" t="inlineStr">
        <is>
          <t>четыреста тридцать четыре</t>
        </is>
      </c>
      <c r="E436" t="inlineStr">
        <is>
          <t>тысячи</t>
        </is>
      </c>
      <c r="F436" t="inlineStr">
        <is>
          <t>копейки</t>
        </is>
      </c>
    </row>
    <row r="437">
      <c r="A437" t="n">
        <v>435</v>
      </c>
      <c r="B437" t="inlineStr">
        <is>
          <t>четыреста тридцать пять</t>
        </is>
      </c>
      <c r="C437" t="inlineStr">
        <is>
          <t>рублей</t>
        </is>
      </c>
      <c r="D437" t="inlineStr">
        <is>
          <t>четыреста тридцать пять</t>
        </is>
      </c>
      <c r="E437" t="inlineStr">
        <is>
          <t>тысяч</t>
        </is>
      </c>
      <c r="F437" t="inlineStr">
        <is>
          <t>копеек</t>
        </is>
      </c>
    </row>
    <row r="438">
      <c r="A438" t="n">
        <v>436</v>
      </c>
      <c r="B438" t="inlineStr">
        <is>
          <t>четыреста тридцать шесть</t>
        </is>
      </c>
      <c r="C438" t="inlineStr">
        <is>
          <t>рублей</t>
        </is>
      </c>
      <c r="D438" t="inlineStr">
        <is>
          <t>четыреста тридцать шесть</t>
        </is>
      </c>
      <c r="E438" t="inlineStr">
        <is>
          <t>тысяч</t>
        </is>
      </c>
      <c r="F438" t="inlineStr">
        <is>
          <t>копеек</t>
        </is>
      </c>
    </row>
    <row r="439">
      <c r="A439" t="n">
        <v>437</v>
      </c>
      <c r="B439" t="inlineStr">
        <is>
          <t>четыреста тридцать семь</t>
        </is>
      </c>
      <c r="C439" t="inlineStr">
        <is>
          <t>рублей</t>
        </is>
      </c>
      <c r="D439" t="inlineStr">
        <is>
          <t>четыреста тридцать семь</t>
        </is>
      </c>
      <c r="E439" t="inlineStr">
        <is>
          <t>тысяч</t>
        </is>
      </c>
      <c r="F439" t="inlineStr">
        <is>
          <t>копеек</t>
        </is>
      </c>
    </row>
    <row r="440">
      <c r="A440" t="n">
        <v>438</v>
      </c>
      <c r="B440" t="inlineStr">
        <is>
          <t>четыреста тридцать восемь</t>
        </is>
      </c>
      <c r="C440" t="inlineStr">
        <is>
          <t>рублей</t>
        </is>
      </c>
      <c r="D440" t="inlineStr">
        <is>
          <t>четыреста тридцать восемь</t>
        </is>
      </c>
      <c r="E440" t="inlineStr">
        <is>
          <t>тысяч</t>
        </is>
      </c>
      <c r="F440" t="inlineStr">
        <is>
          <t>копеек</t>
        </is>
      </c>
    </row>
    <row r="441">
      <c r="A441" t="n">
        <v>439</v>
      </c>
      <c r="B441" t="inlineStr">
        <is>
          <t>четыреста тридцать девять</t>
        </is>
      </c>
      <c r="C441" t="inlineStr">
        <is>
          <t>рублей</t>
        </is>
      </c>
      <c r="D441" t="inlineStr">
        <is>
          <t>четыреста тридцать девять</t>
        </is>
      </c>
      <c r="E441" t="inlineStr">
        <is>
          <t>тысяч</t>
        </is>
      </c>
      <c r="F441" t="inlineStr">
        <is>
          <t>копеек</t>
        </is>
      </c>
    </row>
    <row r="442">
      <c r="A442" t="n">
        <v>440</v>
      </c>
      <c r="B442" t="inlineStr">
        <is>
          <t>четыреста сорок</t>
        </is>
      </c>
      <c r="C442" t="inlineStr">
        <is>
          <t>рублей</t>
        </is>
      </c>
      <c r="D442" t="inlineStr">
        <is>
          <t>четыреста сорок</t>
        </is>
      </c>
      <c r="E442" t="inlineStr">
        <is>
          <t>тысяч</t>
        </is>
      </c>
      <c r="F442" t="inlineStr">
        <is>
          <t>копеек</t>
        </is>
      </c>
    </row>
    <row r="443">
      <c r="A443" t="n">
        <v>441</v>
      </c>
      <c r="B443" t="inlineStr">
        <is>
          <t>четыреста сорок один</t>
        </is>
      </c>
      <c r="C443" t="inlineStr">
        <is>
          <t>рубль</t>
        </is>
      </c>
      <c r="D443" t="inlineStr">
        <is>
          <t>четыреста сорок одна</t>
        </is>
      </c>
      <c r="E443" t="inlineStr">
        <is>
          <t>тысяча</t>
        </is>
      </c>
      <c r="F443" t="inlineStr">
        <is>
          <t>копейка</t>
        </is>
      </c>
    </row>
    <row r="444">
      <c r="A444" t="n">
        <v>442</v>
      </c>
      <c r="B444" t="inlineStr">
        <is>
          <t>четыреста сорок два</t>
        </is>
      </c>
      <c r="C444" t="inlineStr">
        <is>
          <t>рубля</t>
        </is>
      </c>
      <c r="D444" t="inlineStr">
        <is>
          <t>четыреста сорок две</t>
        </is>
      </c>
      <c r="E444" t="inlineStr">
        <is>
          <t>тысячи</t>
        </is>
      </c>
      <c r="F444" t="inlineStr">
        <is>
          <t>копейки</t>
        </is>
      </c>
    </row>
    <row r="445">
      <c r="A445" t="n">
        <v>443</v>
      </c>
      <c r="B445" t="inlineStr">
        <is>
          <t>четыреста сорок три</t>
        </is>
      </c>
      <c r="C445" t="inlineStr">
        <is>
          <t>рубля</t>
        </is>
      </c>
      <c r="D445" t="inlineStr">
        <is>
          <t>четыреста сорок три</t>
        </is>
      </c>
      <c r="E445" t="inlineStr">
        <is>
          <t>тысячи</t>
        </is>
      </c>
      <c r="F445" t="inlineStr">
        <is>
          <t>копейки</t>
        </is>
      </c>
    </row>
    <row r="446">
      <c r="A446" t="n">
        <v>444</v>
      </c>
      <c r="B446" t="inlineStr">
        <is>
          <t>четыреста сорок четыре</t>
        </is>
      </c>
      <c r="C446" t="inlineStr">
        <is>
          <t>рубля</t>
        </is>
      </c>
      <c r="D446" t="inlineStr">
        <is>
          <t>четыреста сорок четыре</t>
        </is>
      </c>
      <c r="E446" t="inlineStr">
        <is>
          <t>тысячи</t>
        </is>
      </c>
      <c r="F446" t="inlineStr">
        <is>
          <t>копейки</t>
        </is>
      </c>
    </row>
    <row r="447">
      <c r="A447" t="n">
        <v>445</v>
      </c>
      <c r="B447" t="inlineStr">
        <is>
          <t>четыреста сорок пять</t>
        </is>
      </c>
      <c r="C447" t="inlineStr">
        <is>
          <t>рублей</t>
        </is>
      </c>
      <c r="D447" t="inlineStr">
        <is>
          <t>четыреста сорок пять</t>
        </is>
      </c>
      <c r="E447" t="inlineStr">
        <is>
          <t>тысяч</t>
        </is>
      </c>
      <c r="F447" t="inlineStr">
        <is>
          <t>копеек</t>
        </is>
      </c>
    </row>
    <row r="448">
      <c r="A448" t="n">
        <v>446</v>
      </c>
      <c r="B448" t="inlineStr">
        <is>
          <t>четыреста сорок шесть</t>
        </is>
      </c>
      <c r="C448" t="inlineStr">
        <is>
          <t>рублей</t>
        </is>
      </c>
      <c r="D448" t="inlineStr">
        <is>
          <t>четыреста сорок шесть</t>
        </is>
      </c>
      <c r="E448" t="inlineStr">
        <is>
          <t>тысяч</t>
        </is>
      </c>
      <c r="F448" t="inlineStr">
        <is>
          <t>копеек</t>
        </is>
      </c>
    </row>
    <row r="449">
      <c r="A449" t="n">
        <v>447</v>
      </c>
      <c r="B449" t="inlineStr">
        <is>
          <t>четыреста сорок семь</t>
        </is>
      </c>
      <c r="C449" t="inlineStr">
        <is>
          <t>рублей</t>
        </is>
      </c>
      <c r="D449" t="inlineStr">
        <is>
          <t>четыреста сорок семь</t>
        </is>
      </c>
      <c r="E449" t="inlineStr">
        <is>
          <t>тысяч</t>
        </is>
      </c>
      <c r="F449" t="inlineStr">
        <is>
          <t>копеек</t>
        </is>
      </c>
    </row>
    <row r="450">
      <c r="A450" t="n">
        <v>448</v>
      </c>
      <c r="B450" t="inlineStr">
        <is>
          <t>четыреста сорок восемь</t>
        </is>
      </c>
      <c r="C450" t="inlineStr">
        <is>
          <t>рублей</t>
        </is>
      </c>
      <c r="D450" t="inlineStr">
        <is>
          <t>четыреста сорок восемь</t>
        </is>
      </c>
      <c r="E450" t="inlineStr">
        <is>
          <t>тысяч</t>
        </is>
      </c>
      <c r="F450" t="inlineStr">
        <is>
          <t>копеек</t>
        </is>
      </c>
    </row>
    <row r="451">
      <c r="A451" t="n">
        <v>449</v>
      </c>
      <c r="B451" t="inlineStr">
        <is>
          <t>четыреста сорок девять</t>
        </is>
      </c>
      <c r="C451" t="inlineStr">
        <is>
          <t>рублей</t>
        </is>
      </c>
      <c r="D451" t="inlineStr">
        <is>
          <t>четыреста сорок девять</t>
        </is>
      </c>
      <c r="E451" t="inlineStr">
        <is>
          <t>тысяч</t>
        </is>
      </c>
      <c r="F451" t="inlineStr">
        <is>
          <t>копеек</t>
        </is>
      </c>
    </row>
    <row r="452">
      <c r="A452" t="n">
        <v>450</v>
      </c>
      <c r="B452" t="inlineStr">
        <is>
          <t>четыреста пятьдесят</t>
        </is>
      </c>
      <c r="C452" t="inlineStr">
        <is>
          <t>рублей</t>
        </is>
      </c>
      <c r="D452" t="inlineStr">
        <is>
          <t>четыреста пятьдесят</t>
        </is>
      </c>
      <c r="E452" t="inlineStr">
        <is>
          <t>тысяч</t>
        </is>
      </c>
      <c r="F452" t="inlineStr">
        <is>
          <t>копеек</t>
        </is>
      </c>
    </row>
    <row r="453">
      <c r="A453" t="n">
        <v>451</v>
      </c>
      <c r="B453" t="inlineStr">
        <is>
          <t>четыреста пятьдесят один</t>
        </is>
      </c>
      <c r="C453" t="inlineStr">
        <is>
          <t>рубль</t>
        </is>
      </c>
      <c r="D453" t="inlineStr">
        <is>
          <t>четыреста пятьдесят одна</t>
        </is>
      </c>
      <c r="E453" t="inlineStr">
        <is>
          <t>тысяча</t>
        </is>
      </c>
      <c r="F453" t="inlineStr">
        <is>
          <t>копейка</t>
        </is>
      </c>
    </row>
    <row r="454">
      <c r="A454" t="n">
        <v>452</v>
      </c>
      <c r="B454" t="inlineStr">
        <is>
          <t>четыреста пятьдесят два</t>
        </is>
      </c>
      <c r="C454" t="inlineStr">
        <is>
          <t>рубля</t>
        </is>
      </c>
      <c r="D454" t="inlineStr">
        <is>
          <t>четыреста пятьдесят две</t>
        </is>
      </c>
      <c r="E454" t="inlineStr">
        <is>
          <t>тысячи</t>
        </is>
      </c>
      <c r="F454" t="inlineStr">
        <is>
          <t>копейки</t>
        </is>
      </c>
    </row>
    <row r="455">
      <c r="A455" t="n">
        <v>453</v>
      </c>
      <c r="B455" t="inlineStr">
        <is>
          <t>четыреста пятьдесят три</t>
        </is>
      </c>
      <c r="C455" t="inlineStr">
        <is>
          <t>рубля</t>
        </is>
      </c>
      <c r="D455" t="inlineStr">
        <is>
          <t>четыреста пятьдесят три</t>
        </is>
      </c>
      <c r="E455" t="inlineStr">
        <is>
          <t>тысячи</t>
        </is>
      </c>
      <c r="F455" t="inlineStr">
        <is>
          <t>копейки</t>
        </is>
      </c>
    </row>
    <row r="456">
      <c r="A456" t="n">
        <v>454</v>
      </c>
      <c r="B456" t="inlineStr">
        <is>
          <t>четыреста пятьдесят четыре</t>
        </is>
      </c>
      <c r="C456" t="inlineStr">
        <is>
          <t>рубля</t>
        </is>
      </c>
      <c r="D456" t="inlineStr">
        <is>
          <t>четыреста пятьдесят четыре</t>
        </is>
      </c>
      <c r="E456" t="inlineStr">
        <is>
          <t>тысячи</t>
        </is>
      </c>
      <c r="F456" t="inlineStr">
        <is>
          <t>копейки</t>
        </is>
      </c>
    </row>
    <row r="457">
      <c r="A457" t="n">
        <v>455</v>
      </c>
      <c r="B457" t="inlineStr">
        <is>
          <t>четыреста пятьдесят пять</t>
        </is>
      </c>
      <c r="C457" t="inlineStr">
        <is>
          <t>рублей</t>
        </is>
      </c>
      <c r="D457" t="inlineStr">
        <is>
          <t>четыреста пятьдесят пять</t>
        </is>
      </c>
      <c r="E457" t="inlineStr">
        <is>
          <t>тысяч</t>
        </is>
      </c>
      <c r="F457" t="inlineStr">
        <is>
          <t>копеек</t>
        </is>
      </c>
    </row>
    <row r="458">
      <c r="A458" t="n">
        <v>456</v>
      </c>
      <c r="B458" t="inlineStr">
        <is>
          <t>четыреста пятьдесят шесть</t>
        </is>
      </c>
      <c r="C458" t="inlineStr">
        <is>
          <t>рублей</t>
        </is>
      </c>
      <c r="D458" t="inlineStr">
        <is>
          <t>четыреста пятьдесят шесть</t>
        </is>
      </c>
      <c r="E458" t="inlineStr">
        <is>
          <t>тысяч</t>
        </is>
      </c>
      <c r="F458" t="inlineStr">
        <is>
          <t>копеек</t>
        </is>
      </c>
    </row>
    <row r="459">
      <c r="A459" t="n">
        <v>457</v>
      </c>
      <c r="B459" t="inlineStr">
        <is>
          <t>четыреста пятьдесят семь</t>
        </is>
      </c>
      <c r="C459" t="inlineStr">
        <is>
          <t>рублей</t>
        </is>
      </c>
      <c r="D459" t="inlineStr">
        <is>
          <t>четыреста пятьдесят семь</t>
        </is>
      </c>
      <c r="E459" t="inlineStr">
        <is>
          <t>тысяч</t>
        </is>
      </c>
      <c r="F459" t="inlineStr">
        <is>
          <t>копеек</t>
        </is>
      </c>
    </row>
    <row r="460">
      <c r="A460" t="n">
        <v>458</v>
      </c>
      <c r="B460" t="inlineStr">
        <is>
          <t>четыреста пятьдесят восемь</t>
        </is>
      </c>
      <c r="C460" t="inlineStr">
        <is>
          <t>рублей</t>
        </is>
      </c>
      <c r="D460" t="inlineStr">
        <is>
          <t>четыреста пятьдесят восемь</t>
        </is>
      </c>
      <c r="E460" t="inlineStr">
        <is>
          <t>тысяч</t>
        </is>
      </c>
      <c r="F460" t="inlineStr">
        <is>
          <t>копеек</t>
        </is>
      </c>
    </row>
    <row r="461">
      <c r="A461" t="n">
        <v>459</v>
      </c>
      <c r="B461" t="inlineStr">
        <is>
          <t>четыреста пятьдесят девять</t>
        </is>
      </c>
      <c r="C461" t="inlineStr">
        <is>
          <t>рублей</t>
        </is>
      </c>
      <c r="D461" t="inlineStr">
        <is>
          <t>четыреста пятьдесят девять</t>
        </is>
      </c>
      <c r="E461" t="inlineStr">
        <is>
          <t>тысяч</t>
        </is>
      </c>
      <c r="F461" t="inlineStr">
        <is>
          <t>копеек</t>
        </is>
      </c>
    </row>
    <row r="462">
      <c r="A462" t="n">
        <v>460</v>
      </c>
      <c r="B462" t="inlineStr">
        <is>
          <t>четыреста шестьдесят</t>
        </is>
      </c>
      <c r="C462" t="inlineStr">
        <is>
          <t>рублей</t>
        </is>
      </c>
      <c r="D462" t="inlineStr">
        <is>
          <t>четыреста шестьдесят</t>
        </is>
      </c>
      <c r="E462" t="inlineStr">
        <is>
          <t>тысяч</t>
        </is>
      </c>
      <c r="F462" t="inlineStr">
        <is>
          <t>копеек</t>
        </is>
      </c>
    </row>
    <row r="463">
      <c r="A463" t="n">
        <v>461</v>
      </c>
      <c r="B463" t="inlineStr">
        <is>
          <t>четыреста шестьдесят один</t>
        </is>
      </c>
      <c r="C463" t="inlineStr">
        <is>
          <t>рубль</t>
        </is>
      </c>
      <c r="D463" t="inlineStr">
        <is>
          <t>четыреста шестьдесят одна</t>
        </is>
      </c>
      <c r="E463" t="inlineStr">
        <is>
          <t>тысяча</t>
        </is>
      </c>
      <c r="F463" t="inlineStr">
        <is>
          <t>копейка</t>
        </is>
      </c>
    </row>
    <row r="464">
      <c r="A464" t="n">
        <v>462</v>
      </c>
      <c r="B464" t="inlineStr">
        <is>
          <t>четыреста шестьдесят два</t>
        </is>
      </c>
      <c r="C464" t="inlineStr">
        <is>
          <t>рубля</t>
        </is>
      </c>
      <c r="D464" t="inlineStr">
        <is>
          <t>четыреста шестьдесят две</t>
        </is>
      </c>
      <c r="E464" t="inlineStr">
        <is>
          <t>тысячи</t>
        </is>
      </c>
      <c r="F464" t="inlineStr">
        <is>
          <t>копейки</t>
        </is>
      </c>
    </row>
    <row r="465">
      <c r="A465" t="n">
        <v>463</v>
      </c>
      <c r="B465" t="inlineStr">
        <is>
          <t>четыреста шестьдесят три</t>
        </is>
      </c>
      <c r="C465" t="inlineStr">
        <is>
          <t>рубля</t>
        </is>
      </c>
      <c r="D465" t="inlineStr">
        <is>
          <t>четыреста шестьдесят три</t>
        </is>
      </c>
      <c r="E465" t="inlineStr">
        <is>
          <t>тысячи</t>
        </is>
      </c>
      <c r="F465" t="inlineStr">
        <is>
          <t>копейки</t>
        </is>
      </c>
    </row>
    <row r="466">
      <c r="A466" t="n">
        <v>464</v>
      </c>
      <c r="B466" t="inlineStr">
        <is>
          <t>четыреста шестьдесят четыре</t>
        </is>
      </c>
      <c r="C466" t="inlineStr">
        <is>
          <t>рубля</t>
        </is>
      </c>
      <c r="D466" t="inlineStr">
        <is>
          <t>четыреста шестьдесят четыре</t>
        </is>
      </c>
      <c r="E466" t="inlineStr">
        <is>
          <t>тысячи</t>
        </is>
      </c>
      <c r="F466" t="inlineStr">
        <is>
          <t>копейки</t>
        </is>
      </c>
    </row>
    <row r="467">
      <c r="A467" t="n">
        <v>465</v>
      </c>
      <c r="B467" t="inlineStr">
        <is>
          <t>четыреста шестьдесят пять</t>
        </is>
      </c>
      <c r="C467" t="inlineStr">
        <is>
          <t>рублей</t>
        </is>
      </c>
      <c r="D467" t="inlineStr">
        <is>
          <t>четыреста шестьдесят пять</t>
        </is>
      </c>
      <c r="E467" t="inlineStr">
        <is>
          <t>тысяч</t>
        </is>
      </c>
      <c r="F467" t="inlineStr">
        <is>
          <t>копеек</t>
        </is>
      </c>
    </row>
    <row r="468">
      <c r="A468" t="n">
        <v>466</v>
      </c>
      <c r="B468" t="inlineStr">
        <is>
          <t>четыреста шестьдесят шесть</t>
        </is>
      </c>
      <c r="C468" t="inlineStr">
        <is>
          <t>рублей</t>
        </is>
      </c>
      <c r="D468" t="inlineStr">
        <is>
          <t>четыреста шестьдесят шесть</t>
        </is>
      </c>
      <c r="E468" t="inlineStr">
        <is>
          <t>тысяч</t>
        </is>
      </c>
      <c r="F468" t="inlineStr">
        <is>
          <t>копеек</t>
        </is>
      </c>
    </row>
    <row r="469">
      <c r="A469" t="n">
        <v>467</v>
      </c>
      <c r="B469" t="inlineStr">
        <is>
          <t>четыреста шестьдесят семь</t>
        </is>
      </c>
      <c r="C469" t="inlineStr">
        <is>
          <t>рублей</t>
        </is>
      </c>
      <c r="D469" t="inlineStr">
        <is>
          <t>четыреста шестьдесят семь</t>
        </is>
      </c>
      <c r="E469" t="inlineStr">
        <is>
          <t>тысяч</t>
        </is>
      </c>
      <c r="F469" t="inlineStr">
        <is>
          <t>копеек</t>
        </is>
      </c>
    </row>
    <row r="470">
      <c r="A470" t="n">
        <v>468</v>
      </c>
      <c r="B470" t="inlineStr">
        <is>
          <t>четыреста шестьдесят восемь</t>
        </is>
      </c>
      <c r="C470" t="inlineStr">
        <is>
          <t>рублей</t>
        </is>
      </c>
      <c r="D470" t="inlineStr">
        <is>
          <t>четыреста шестьдесят восемь</t>
        </is>
      </c>
      <c r="E470" t="inlineStr">
        <is>
          <t>тысяч</t>
        </is>
      </c>
      <c r="F470" t="inlineStr">
        <is>
          <t>копеек</t>
        </is>
      </c>
    </row>
    <row r="471">
      <c r="A471" t="n">
        <v>469</v>
      </c>
      <c r="B471" t="inlineStr">
        <is>
          <t>четыреста шестьдесят девять</t>
        </is>
      </c>
      <c r="C471" t="inlineStr">
        <is>
          <t>рублей</t>
        </is>
      </c>
      <c r="D471" t="inlineStr">
        <is>
          <t>четыреста шестьдесят девять</t>
        </is>
      </c>
      <c r="E471" t="inlineStr">
        <is>
          <t>тысяч</t>
        </is>
      </c>
      <c r="F471" t="inlineStr">
        <is>
          <t>копеек</t>
        </is>
      </c>
    </row>
    <row r="472">
      <c r="A472" t="n">
        <v>470</v>
      </c>
      <c r="B472" t="inlineStr">
        <is>
          <t>четыреста семьдесят</t>
        </is>
      </c>
      <c r="C472" t="inlineStr">
        <is>
          <t>рублей</t>
        </is>
      </c>
      <c r="D472" t="inlineStr">
        <is>
          <t>четыреста семьдесят</t>
        </is>
      </c>
      <c r="E472" t="inlineStr">
        <is>
          <t>тысяч</t>
        </is>
      </c>
      <c r="F472" t="inlineStr">
        <is>
          <t>копеек</t>
        </is>
      </c>
    </row>
    <row r="473">
      <c r="A473" t="n">
        <v>471</v>
      </c>
      <c r="B473" t="inlineStr">
        <is>
          <t>четыреста семьдесят один</t>
        </is>
      </c>
      <c r="C473" t="inlineStr">
        <is>
          <t>рубль</t>
        </is>
      </c>
      <c r="D473" t="inlineStr">
        <is>
          <t>четыреста семьдесят одна</t>
        </is>
      </c>
      <c r="E473" t="inlineStr">
        <is>
          <t>тысяча</t>
        </is>
      </c>
      <c r="F473" t="inlineStr">
        <is>
          <t>копейка</t>
        </is>
      </c>
    </row>
    <row r="474">
      <c r="A474" t="n">
        <v>472</v>
      </c>
      <c r="B474" t="inlineStr">
        <is>
          <t>четыреста семьдесят два</t>
        </is>
      </c>
      <c r="C474" t="inlineStr">
        <is>
          <t>рубля</t>
        </is>
      </c>
      <c r="D474" t="inlineStr">
        <is>
          <t>четыреста семьдесят две</t>
        </is>
      </c>
      <c r="E474" t="inlineStr">
        <is>
          <t>тысячи</t>
        </is>
      </c>
      <c r="F474" t="inlineStr">
        <is>
          <t>копейки</t>
        </is>
      </c>
    </row>
    <row r="475">
      <c r="A475" t="n">
        <v>473</v>
      </c>
      <c r="B475" t="inlineStr">
        <is>
          <t>четыреста семьдесят три</t>
        </is>
      </c>
      <c r="C475" t="inlineStr">
        <is>
          <t>рубля</t>
        </is>
      </c>
      <c r="D475" t="inlineStr">
        <is>
          <t>четыреста семьдесят три</t>
        </is>
      </c>
      <c r="E475" t="inlineStr">
        <is>
          <t>тысячи</t>
        </is>
      </c>
      <c r="F475" t="inlineStr">
        <is>
          <t>копейки</t>
        </is>
      </c>
    </row>
    <row r="476">
      <c r="A476" t="n">
        <v>474</v>
      </c>
      <c r="B476" t="inlineStr">
        <is>
          <t>четыреста семьдесят четыре</t>
        </is>
      </c>
      <c r="C476" t="inlineStr">
        <is>
          <t>рубля</t>
        </is>
      </c>
      <c r="D476" t="inlineStr">
        <is>
          <t>четыреста семьдесят четыре</t>
        </is>
      </c>
      <c r="E476" t="inlineStr">
        <is>
          <t>тысячи</t>
        </is>
      </c>
      <c r="F476" t="inlineStr">
        <is>
          <t>копейки</t>
        </is>
      </c>
    </row>
    <row r="477">
      <c r="A477" t="n">
        <v>475</v>
      </c>
      <c r="B477" t="inlineStr">
        <is>
          <t>четыреста семьдесят пять</t>
        </is>
      </c>
      <c r="C477" t="inlineStr">
        <is>
          <t>рублей</t>
        </is>
      </c>
      <c r="D477" t="inlineStr">
        <is>
          <t>четыреста семьдесят пять</t>
        </is>
      </c>
      <c r="E477" t="inlineStr">
        <is>
          <t>тысяч</t>
        </is>
      </c>
      <c r="F477" t="inlineStr">
        <is>
          <t>копеек</t>
        </is>
      </c>
    </row>
    <row r="478">
      <c r="A478" t="n">
        <v>476</v>
      </c>
      <c r="B478" t="inlineStr">
        <is>
          <t>четыреста семьдесят шесть</t>
        </is>
      </c>
      <c r="C478" t="inlineStr">
        <is>
          <t>рублей</t>
        </is>
      </c>
      <c r="D478" t="inlineStr">
        <is>
          <t>четыреста семьдесят шесть</t>
        </is>
      </c>
      <c r="E478" t="inlineStr">
        <is>
          <t>тысяч</t>
        </is>
      </c>
      <c r="F478" t="inlineStr">
        <is>
          <t>копеек</t>
        </is>
      </c>
    </row>
    <row r="479">
      <c r="A479" t="n">
        <v>477</v>
      </c>
      <c r="B479" t="inlineStr">
        <is>
          <t>четыреста семьдесят семь</t>
        </is>
      </c>
      <c r="C479" t="inlineStr">
        <is>
          <t>рублей</t>
        </is>
      </c>
      <c r="D479" t="inlineStr">
        <is>
          <t>четыреста семьдесят семь</t>
        </is>
      </c>
      <c r="E479" t="inlineStr">
        <is>
          <t>тысяч</t>
        </is>
      </c>
      <c r="F479" t="inlineStr">
        <is>
          <t>копеек</t>
        </is>
      </c>
    </row>
    <row r="480">
      <c r="A480" t="n">
        <v>478</v>
      </c>
      <c r="B480" t="inlineStr">
        <is>
          <t>четыреста семьдесят восемь</t>
        </is>
      </c>
      <c r="C480" t="inlineStr">
        <is>
          <t>рублей</t>
        </is>
      </c>
      <c r="D480" t="inlineStr">
        <is>
          <t>четыреста семьдесят восемь</t>
        </is>
      </c>
      <c r="E480" t="inlineStr">
        <is>
          <t>тысяч</t>
        </is>
      </c>
      <c r="F480" t="inlineStr">
        <is>
          <t>копеек</t>
        </is>
      </c>
    </row>
    <row r="481">
      <c r="A481" t="n">
        <v>479</v>
      </c>
      <c r="B481" t="inlineStr">
        <is>
          <t>четыреста семьдесят девять</t>
        </is>
      </c>
      <c r="C481" t="inlineStr">
        <is>
          <t>рублей</t>
        </is>
      </c>
      <c r="D481" t="inlineStr">
        <is>
          <t>четыреста семьдесят девять</t>
        </is>
      </c>
      <c r="E481" t="inlineStr">
        <is>
          <t>тысяч</t>
        </is>
      </c>
      <c r="F481" t="inlineStr">
        <is>
          <t>копеек</t>
        </is>
      </c>
    </row>
    <row r="482">
      <c r="A482" t="n">
        <v>480</v>
      </c>
      <c r="B482" t="inlineStr">
        <is>
          <t>четыреста восемьдесят</t>
        </is>
      </c>
      <c r="C482" t="inlineStr">
        <is>
          <t>рублей</t>
        </is>
      </c>
      <c r="D482" t="inlineStr">
        <is>
          <t>четыреста восемьдесят</t>
        </is>
      </c>
      <c r="E482" t="inlineStr">
        <is>
          <t>тысяч</t>
        </is>
      </c>
      <c r="F482" t="inlineStr">
        <is>
          <t>копеек</t>
        </is>
      </c>
    </row>
    <row r="483">
      <c r="A483" t="n">
        <v>481</v>
      </c>
      <c r="B483" t="inlineStr">
        <is>
          <t>четыреста восемьдесят один</t>
        </is>
      </c>
      <c r="C483" t="inlineStr">
        <is>
          <t>рубль</t>
        </is>
      </c>
      <c r="D483" t="inlineStr">
        <is>
          <t>четыреста восемьдесят одна</t>
        </is>
      </c>
      <c r="E483" t="inlineStr">
        <is>
          <t>тысяча</t>
        </is>
      </c>
      <c r="F483" t="inlineStr">
        <is>
          <t>копейка</t>
        </is>
      </c>
    </row>
    <row r="484">
      <c r="A484" t="n">
        <v>482</v>
      </c>
      <c r="B484" t="inlineStr">
        <is>
          <t>четыреста восемьдесят два</t>
        </is>
      </c>
      <c r="C484" t="inlineStr">
        <is>
          <t>рубля</t>
        </is>
      </c>
      <c r="D484" t="inlineStr">
        <is>
          <t>четыреста восемьдесят две</t>
        </is>
      </c>
      <c r="E484" t="inlineStr">
        <is>
          <t>тысячи</t>
        </is>
      </c>
      <c r="F484" t="inlineStr">
        <is>
          <t>копейки</t>
        </is>
      </c>
    </row>
    <row r="485">
      <c r="A485" t="n">
        <v>483</v>
      </c>
      <c r="B485" t="inlineStr">
        <is>
          <t>четыреста восемьдесят три</t>
        </is>
      </c>
      <c r="C485" t="inlineStr">
        <is>
          <t>рубля</t>
        </is>
      </c>
      <c r="D485" t="inlineStr">
        <is>
          <t>четыреста восемьдесят три</t>
        </is>
      </c>
      <c r="E485" t="inlineStr">
        <is>
          <t>тысячи</t>
        </is>
      </c>
      <c r="F485" t="inlineStr">
        <is>
          <t>копейки</t>
        </is>
      </c>
    </row>
    <row r="486">
      <c r="A486" t="n">
        <v>484</v>
      </c>
      <c r="B486" t="inlineStr">
        <is>
          <t>четыреста восемьдесят четыре</t>
        </is>
      </c>
      <c r="C486" t="inlineStr">
        <is>
          <t>рубля</t>
        </is>
      </c>
      <c r="D486" t="inlineStr">
        <is>
          <t>четыреста восемьдесят четыре</t>
        </is>
      </c>
      <c r="E486" t="inlineStr">
        <is>
          <t>тысячи</t>
        </is>
      </c>
      <c r="F486" t="inlineStr">
        <is>
          <t>копейки</t>
        </is>
      </c>
    </row>
    <row r="487">
      <c r="A487" t="n">
        <v>485</v>
      </c>
      <c r="B487" t="inlineStr">
        <is>
          <t>четыреста восемьдесят пять</t>
        </is>
      </c>
      <c r="C487" t="inlineStr">
        <is>
          <t>рублей</t>
        </is>
      </c>
      <c r="D487" t="inlineStr">
        <is>
          <t>четыреста восемьдесят пять</t>
        </is>
      </c>
      <c r="E487" t="inlineStr">
        <is>
          <t>тысяч</t>
        </is>
      </c>
      <c r="F487" t="inlineStr">
        <is>
          <t>копеек</t>
        </is>
      </c>
    </row>
    <row r="488">
      <c r="A488" t="n">
        <v>486</v>
      </c>
      <c r="B488" t="inlineStr">
        <is>
          <t>четыреста восемьдесят шесть</t>
        </is>
      </c>
      <c r="C488" t="inlineStr">
        <is>
          <t>рублей</t>
        </is>
      </c>
      <c r="D488" t="inlineStr">
        <is>
          <t>четыреста восемьдесят шесть</t>
        </is>
      </c>
      <c r="E488" t="inlineStr">
        <is>
          <t>тысяч</t>
        </is>
      </c>
      <c r="F488" t="inlineStr">
        <is>
          <t>копеек</t>
        </is>
      </c>
    </row>
    <row r="489">
      <c r="A489" t="n">
        <v>487</v>
      </c>
      <c r="B489" t="inlineStr">
        <is>
          <t>четыреста восемьдесят семь</t>
        </is>
      </c>
      <c r="C489" t="inlineStr">
        <is>
          <t>рублей</t>
        </is>
      </c>
      <c r="D489" t="inlineStr">
        <is>
          <t>четыреста восемьдесят семь</t>
        </is>
      </c>
      <c r="E489" t="inlineStr">
        <is>
          <t>тысяч</t>
        </is>
      </c>
      <c r="F489" t="inlineStr">
        <is>
          <t>копеек</t>
        </is>
      </c>
    </row>
    <row r="490">
      <c r="A490" t="n">
        <v>488</v>
      </c>
      <c r="B490" t="inlineStr">
        <is>
          <t>четыреста восемьдесят восемь</t>
        </is>
      </c>
      <c r="C490" t="inlineStr">
        <is>
          <t>рублей</t>
        </is>
      </c>
      <c r="D490" t="inlineStr">
        <is>
          <t>четыреста восемьдесят восемь</t>
        </is>
      </c>
      <c r="E490" t="inlineStr">
        <is>
          <t>тысяч</t>
        </is>
      </c>
      <c r="F490" t="inlineStr">
        <is>
          <t>копеек</t>
        </is>
      </c>
    </row>
    <row r="491">
      <c r="A491" t="n">
        <v>489</v>
      </c>
      <c r="B491" t="inlineStr">
        <is>
          <t>четыреста восемьдесят девять</t>
        </is>
      </c>
      <c r="C491" t="inlineStr">
        <is>
          <t>рублей</t>
        </is>
      </c>
      <c r="D491" t="inlineStr">
        <is>
          <t>четыреста восемьдесят девять</t>
        </is>
      </c>
      <c r="E491" t="inlineStr">
        <is>
          <t>тысяч</t>
        </is>
      </c>
      <c r="F491" t="inlineStr">
        <is>
          <t>копеек</t>
        </is>
      </c>
    </row>
    <row r="492">
      <c r="A492" t="n">
        <v>490</v>
      </c>
      <c r="B492" t="inlineStr">
        <is>
          <t>четыреста девяносто</t>
        </is>
      </c>
      <c r="C492" t="inlineStr">
        <is>
          <t>рублей</t>
        </is>
      </c>
      <c r="D492" t="inlineStr">
        <is>
          <t>четыреста девяносто</t>
        </is>
      </c>
      <c r="E492" t="inlineStr">
        <is>
          <t>тысяч</t>
        </is>
      </c>
      <c r="F492" t="inlineStr">
        <is>
          <t>копеек</t>
        </is>
      </c>
    </row>
    <row r="493">
      <c r="A493" t="n">
        <v>491</v>
      </c>
      <c r="B493" t="inlineStr">
        <is>
          <t>четыреста девяносто один</t>
        </is>
      </c>
      <c r="C493" t="inlineStr">
        <is>
          <t>рубль</t>
        </is>
      </c>
      <c r="D493" t="inlineStr">
        <is>
          <t>четыреста девяносто одна</t>
        </is>
      </c>
      <c r="E493" t="inlineStr">
        <is>
          <t>тысяча</t>
        </is>
      </c>
      <c r="F493" t="inlineStr">
        <is>
          <t>копейка</t>
        </is>
      </c>
    </row>
    <row r="494">
      <c r="A494" t="n">
        <v>492</v>
      </c>
      <c r="B494" t="inlineStr">
        <is>
          <t>четыреста девяносто два</t>
        </is>
      </c>
      <c r="C494" t="inlineStr">
        <is>
          <t>рубля</t>
        </is>
      </c>
      <c r="D494" t="inlineStr">
        <is>
          <t>четыреста девяносто две</t>
        </is>
      </c>
      <c r="E494" t="inlineStr">
        <is>
          <t>тысячи</t>
        </is>
      </c>
      <c r="F494" t="inlineStr">
        <is>
          <t>копейки</t>
        </is>
      </c>
    </row>
    <row r="495">
      <c r="A495" t="n">
        <v>493</v>
      </c>
      <c r="B495" t="inlineStr">
        <is>
          <t>четыреста девяносто три</t>
        </is>
      </c>
      <c r="C495" t="inlineStr">
        <is>
          <t>рубля</t>
        </is>
      </c>
      <c r="D495" t="inlineStr">
        <is>
          <t>четыреста девяносто три</t>
        </is>
      </c>
      <c r="E495" t="inlineStr">
        <is>
          <t>тысячи</t>
        </is>
      </c>
      <c r="F495" t="inlineStr">
        <is>
          <t>копейки</t>
        </is>
      </c>
    </row>
    <row r="496">
      <c r="A496" t="n">
        <v>494</v>
      </c>
      <c r="B496" t="inlineStr">
        <is>
          <t>четыреста девяносто четыре</t>
        </is>
      </c>
      <c r="C496" t="inlineStr">
        <is>
          <t>рубля</t>
        </is>
      </c>
      <c r="D496" t="inlineStr">
        <is>
          <t>четыреста девяносто четыре</t>
        </is>
      </c>
      <c r="E496" t="inlineStr">
        <is>
          <t>тысячи</t>
        </is>
      </c>
      <c r="F496" t="inlineStr">
        <is>
          <t>копейки</t>
        </is>
      </c>
    </row>
    <row r="497">
      <c r="A497" t="n">
        <v>495</v>
      </c>
      <c r="B497" t="inlineStr">
        <is>
          <t>четыреста девяносто пять</t>
        </is>
      </c>
      <c r="C497" t="inlineStr">
        <is>
          <t>рублей</t>
        </is>
      </c>
      <c r="D497" t="inlineStr">
        <is>
          <t>четыреста девяносто пять</t>
        </is>
      </c>
      <c r="E497" t="inlineStr">
        <is>
          <t>тысяч</t>
        </is>
      </c>
      <c r="F497" t="inlineStr">
        <is>
          <t>копеек</t>
        </is>
      </c>
    </row>
    <row r="498">
      <c r="A498" t="n">
        <v>496</v>
      </c>
      <c r="B498" t="inlineStr">
        <is>
          <t>четыреста девяносто шесть</t>
        </is>
      </c>
      <c r="C498" t="inlineStr">
        <is>
          <t>рублей</t>
        </is>
      </c>
      <c r="D498" t="inlineStr">
        <is>
          <t>четыреста девяносто шесть</t>
        </is>
      </c>
      <c r="E498" t="inlineStr">
        <is>
          <t>тысяч</t>
        </is>
      </c>
      <c r="F498" t="inlineStr">
        <is>
          <t>копеек</t>
        </is>
      </c>
    </row>
    <row r="499">
      <c r="A499" t="n">
        <v>497</v>
      </c>
      <c r="B499" t="inlineStr">
        <is>
          <t>четыреста девяносто семь</t>
        </is>
      </c>
      <c r="C499" t="inlineStr">
        <is>
          <t>рублей</t>
        </is>
      </c>
      <c r="D499" t="inlineStr">
        <is>
          <t>четыреста девяносто семь</t>
        </is>
      </c>
      <c r="E499" t="inlineStr">
        <is>
          <t>тысяч</t>
        </is>
      </c>
      <c r="F499" t="inlineStr">
        <is>
          <t>копеек</t>
        </is>
      </c>
    </row>
    <row r="500">
      <c r="A500" t="n">
        <v>498</v>
      </c>
      <c r="B500" t="inlineStr">
        <is>
          <t>четыреста девяносто восемь</t>
        </is>
      </c>
      <c r="C500" t="inlineStr">
        <is>
          <t>рублей</t>
        </is>
      </c>
      <c r="D500" t="inlineStr">
        <is>
          <t>четыреста девяносто восемь</t>
        </is>
      </c>
      <c r="E500" t="inlineStr">
        <is>
          <t>тысяч</t>
        </is>
      </c>
      <c r="F500" t="inlineStr">
        <is>
          <t>копеек</t>
        </is>
      </c>
    </row>
    <row r="501">
      <c r="A501" t="n">
        <v>499</v>
      </c>
      <c r="B501" t="inlineStr">
        <is>
          <t>четыреста девяносто девять</t>
        </is>
      </c>
      <c r="C501" t="inlineStr">
        <is>
          <t>рублей</t>
        </is>
      </c>
      <c r="D501" t="inlineStr">
        <is>
          <t>четыреста девяносто девять</t>
        </is>
      </c>
      <c r="E501" t="inlineStr">
        <is>
          <t>тысяч</t>
        </is>
      </c>
      <c r="F501" t="inlineStr">
        <is>
          <t>копеек</t>
        </is>
      </c>
    </row>
    <row r="502">
      <c r="A502" t="n">
        <v>500</v>
      </c>
      <c r="B502" t="inlineStr">
        <is>
          <t>пятьсот</t>
        </is>
      </c>
      <c r="C502" t="inlineStr">
        <is>
          <t>рублей</t>
        </is>
      </c>
      <c r="D502" t="inlineStr">
        <is>
          <t>пятьсот</t>
        </is>
      </c>
      <c r="E502" t="inlineStr">
        <is>
          <t>тысяч</t>
        </is>
      </c>
      <c r="F502" t="inlineStr">
        <is>
          <t>копеек</t>
        </is>
      </c>
    </row>
    <row r="503">
      <c r="A503" t="n">
        <v>501</v>
      </c>
      <c r="B503" t="inlineStr">
        <is>
          <t>пятьсот один</t>
        </is>
      </c>
      <c r="C503" t="inlineStr">
        <is>
          <t>рубль</t>
        </is>
      </c>
      <c r="D503" t="inlineStr">
        <is>
          <t>пятьсот одна</t>
        </is>
      </c>
      <c r="E503" t="inlineStr">
        <is>
          <t>тысяча</t>
        </is>
      </c>
      <c r="F503" t="inlineStr">
        <is>
          <t>копейка</t>
        </is>
      </c>
    </row>
    <row r="504">
      <c r="A504" t="n">
        <v>502</v>
      </c>
      <c r="B504" t="inlineStr">
        <is>
          <t>пятьсот два</t>
        </is>
      </c>
      <c r="C504" t="inlineStr">
        <is>
          <t>рубля</t>
        </is>
      </c>
      <c r="D504" t="inlineStr">
        <is>
          <t>пятьсот две</t>
        </is>
      </c>
      <c r="E504" t="inlineStr">
        <is>
          <t>тысячи</t>
        </is>
      </c>
      <c r="F504" t="inlineStr">
        <is>
          <t>копейки</t>
        </is>
      </c>
    </row>
    <row r="505">
      <c r="A505" t="n">
        <v>503</v>
      </c>
      <c r="B505" t="inlineStr">
        <is>
          <t>пятьсот три</t>
        </is>
      </c>
      <c r="C505" t="inlineStr">
        <is>
          <t>рубля</t>
        </is>
      </c>
      <c r="D505" t="inlineStr">
        <is>
          <t>пятьсот три</t>
        </is>
      </c>
      <c r="E505" t="inlineStr">
        <is>
          <t>тысячи</t>
        </is>
      </c>
      <c r="F505" t="inlineStr">
        <is>
          <t>копейки</t>
        </is>
      </c>
    </row>
    <row r="506">
      <c r="A506" t="n">
        <v>504</v>
      </c>
      <c r="B506" t="inlineStr">
        <is>
          <t>пятьсот четыре</t>
        </is>
      </c>
      <c r="C506" t="inlineStr">
        <is>
          <t>рубля</t>
        </is>
      </c>
      <c r="D506" t="inlineStr">
        <is>
          <t>пятьсот четыре</t>
        </is>
      </c>
      <c r="E506" t="inlineStr">
        <is>
          <t>тысячи</t>
        </is>
      </c>
      <c r="F506" t="inlineStr">
        <is>
          <t>копейки</t>
        </is>
      </c>
    </row>
    <row r="507">
      <c r="A507" t="n">
        <v>505</v>
      </c>
      <c r="B507" t="inlineStr">
        <is>
          <t>пятьсот пять</t>
        </is>
      </c>
      <c r="C507" t="inlineStr">
        <is>
          <t>рублей</t>
        </is>
      </c>
      <c r="D507" t="inlineStr">
        <is>
          <t>пятьсот пять</t>
        </is>
      </c>
      <c r="E507" t="inlineStr">
        <is>
          <t>тысяч</t>
        </is>
      </c>
      <c r="F507" t="inlineStr">
        <is>
          <t>копеек</t>
        </is>
      </c>
    </row>
    <row r="508">
      <c r="A508" t="n">
        <v>506</v>
      </c>
      <c r="B508" t="inlineStr">
        <is>
          <t>пятьсот шесть</t>
        </is>
      </c>
      <c r="C508" t="inlineStr">
        <is>
          <t>рублей</t>
        </is>
      </c>
      <c r="D508" t="inlineStr">
        <is>
          <t>пятьсот шесть</t>
        </is>
      </c>
      <c r="E508" t="inlineStr">
        <is>
          <t>тысяч</t>
        </is>
      </c>
      <c r="F508" t="inlineStr">
        <is>
          <t>копеек</t>
        </is>
      </c>
    </row>
    <row r="509">
      <c r="A509" t="n">
        <v>507</v>
      </c>
      <c r="B509" t="inlineStr">
        <is>
          <t>пятьсот семь</t>
        </is>
      </c>
      <c r="C509" t="inlineStr">
        <is>
          <t>рублей</t>
        </is>
      </c>
      <c r="D509" t="inlineStr">
        <is>
          <t>пятьсот семь</t>
        </is>
      </c>
      <c r="E509" t="inlineStr">
        <is>
          <t>тысяч</t>
        </is>
      </c>
      <c r="F509" t="inlineStr">
        <is>
          <t>копеек</t>
        </is>
      </c>
    </row>
    <row r="510">
      <c r="A510" t="n">
        <v>508</v>
      </c>
      <c r="B510" t="inlineStr">
        <is>
          <t>пятьсот восемь</t>
        </is>
      </c>
      <c r="C510" t="inlineStr">
        <is>
          <t>рублей</t>
        </is>
      </c>
      <c r="D510" t="inlineStr">
        <is>
          <t>пятьсот восемь</t>
        </is>
      </c>
      <c r="E510" t="inlineStr">
        <is>
          <t>тысяч</t>
        </is>
      </c>
      <c r="F510" t="inlineStr">
        <is>
          <t>копеек</t>
        </is>
      </c>
    </row>
    <row r="511">
      <c r="A511" t="n">
        <v>509</v>
      </c>
      <c r="B511" t="inlineStr">
        <is>
          <t>пятьсот девять</t>
        </is>
      </c>
      <c r="C511" t="inlineStr">
        <is>
          <t>рублей</t>
        </is>
      </c>
      <c r="D511" t="inlineStr">
        <is>
          <t>пятьсот девять</t>
        </is>
      </c>
      <c r="E511" t="inlineStr">
        <is>
          <t>тысяч</t>
        </is>
      </c>
      <c r="F511" t="inlineStr">
        <is>
          <t>копеек</t>
        </is>
      </c>
    </row>
    <row r="512">
      <c r="A512" t="n">
        <v>510</v>
      </c>
      <c r="B512" t="inlineStr">
        <is>
          <t>пятьсот десять</t>
        </is>
      </c>
      <c r="C512" t="inlineStr">
        <is>
          <t>рублей</t>
        </is>
      </c>
      <c r="D512" t="inlineStr">
        <is>
          <t>пятьсот десять</t>
        </is>
      </c>
      <c r="E512" t="inlineStr">
        <is>
          <t>тысяч</t>
        </is>
      </c>
      <c r="F512" t="inlineStr">
        <is>
          <t>копеек</t>
        </is>
      </c>
    </row>
    <row r="513">
      <c r="A513" t="n">
        <v>511</v>
      </c>
      <c r="B513" t="inlineStr">
        <is>
          <t>пятьсот одиннадцать</t>
        </is>
      </c>
      <c r="C513" t="inlineStr">
        <is>
          <t>рублей</t>
        </is>
      </c>
      <c r="D513" t="inlineStr">
        <is>
          <t>пятьсот одиннадцать</t>
        </is>
      </c>
      <c r="E513" t="inlineStr">
        <is>
          <t>тысяч</t>
        </is>
      </c>
      <c r="F513" t="inlineStr">
        <is>
          <t>копеек</t>
        </is>
      </c>
    </row>
    <row r="514">
      <c r="A514" t="n">
        <v>512</v>
      </c>
      <c r="B514" t="inlineStr">
        <is>
          <t>пятьсот двенадцать</t>
        </is>
      </c>
      <c r="C514" t="inlineStr">
        <is>
          <t>рублей</t>
        </is>
      </c>
      <c r="D514" t="inlineStr">
        <is>
          <t>пятьсот двенадцать</t>
        </is>
      </c>
      <c r="E514" t="inlineStr">
        <is>
          <t>тысяч</t>
        </is>
      </c>
      <c r="F514" t="inlineStr">
        <is>
          <t>копеек</t>
        </is>
      </c>
    </row>
    <row r="515">
      <c r="A515" t="n">
        <v>513</v>
      </c>
      <c r="B515" t="inlineStr">
        <is>
          <t>пятьсот тринадцать</t>
        </is>
      </c>
      <c r="C515" t="inlineStr">
        <is>
          <t>рублей</t>
        </is>
      </c>
      <c r="D515" t="inlineStr">
        <is>
          <t>пятьсот тринадцать</t>
        </is>
      </c>
      <c r="E515" t="inlineStr">
        <is>
          <t>тысяч</t>
        </is>
      </c>
      <c r="F515" t="inlineStr">
        <is>
          <t>копеек</t>
        </is>
      </c>
    </row>
    <row r="516">
      <c r="A516" t="n">
        <v>514</v>
      </c>
      <c r="B516" t="inlineStr">
        <is>
          <t>пятьсот четырнадцать</t>
        </is>
      </c>
      <c r="C516" t="inlineStr">
        <is>
          <t>рублей</t>
        </is>
      </c>
      <c r="D516" t="inlineStr">
        <is>
          <t>пятьсот четырнадцать</t>
        </is>
      </c>
      <c r="E516" t="inlineStr">
        <is>
          <t>тысяч</t>
        </is>
      </c>
      <c r="F516" t="inlineStr">
        <is>
          <t>копеек</t>
        </is>
      </c>
    </row>
    <row r="517">
      <c r="A517" t="n">
        <v>515</v>
      </c>
      <c r="B517" t="inlineStr">
        <is>
          <t>пятьсот пятнадцать</t>
        </is>
      </c>
      <c r="C517" t="inlineStr">
        <is>
          <t>рублей</t>
        </is>
      </c>
      <c r="D517" t="inlineStr">
        <is>
          <t>пятьсот пятнадцать</t>
        </is>
      </c>
      <c r="E517" t="inlineStr">
        <is>
          <t>тысяч</t>
        </is>
      </c>
      <c r="F517" t="inlineStr">
        <is>
          <t>копеек</t>
        </is>
      </c>
    </row>
    <row r="518">
      <c r="A518" t="n">
        <v>516</v>
      </c>
      <c r="B518" t="inlineStr">
        <is>
          <t>пятьсот шестнадцать</t>
        </is>
      </c>
      <c r="C518" t="inlineStr">
        <is>
          <t>рублей</t>
        </is>
      </c>
      <c r="D518" t="inlineStr">
        <is>
          <t>пятьсот шестнадцать</t>
        </is>
      </c>
      <c r="E518" t="inlineStr">
        <is>
          <t>тысяч</t>
        </is>
      </c>
      <c r="F518" t="inlineStr">
        <is>
          <t>копеек</t>
        </is>
      </c>
    </row>
    <row r="519">
      <c r="A519" t="n">
        <v>517</v>
      </c>
      <c r="B519" t="inlineStr">
        <is>
          <t>пятьсот семнадцать</t>
        </is>
      </c>
      <c r="C519" t="inlineStr">
        <is>
          <t>рублей</t>
        </is>
      </c>
      <c r="D519" t="inlineStr">
        <is>
          <t>пятьсот семнадцать</t>
        </is>
      </c>
      <c r="E519" t="inlineStr">
        <is>
          <t>тысяч</t>
        </is>
      </c>
      <c r="F519" t="inlineStr">
        <is>
          <t>копеек</t>
        </is>
      </c>
    </row>
    <row r="520">
      <c r="A520" t="n">
        <v>518</v>
      </c>
      <c r="B520" t="inlineStr">
        <is>
          <t>пятьсот восемнадцать</t>
        </is>
      </c>
      <c r="C520" t="inlineStr">
        <is>
          <t>рублей</t>
        </is>
      </c>
      <c r="D520" t="inlineStr">
        <is>
          <t>пятьсот восемнадцать</t>
        </is>
      </c>
      <c r="E520" t="inlineStr">
        <is>
          <t>тысяч</t>
        </is>
      </c>
      <c r="F520" t="inlineStr">
        <is>
          <t>копеек</t>
        </is>
      </c>
    </row>
    <row r="521">
      <c r="A521" t="n">
        <v>519</v>
      </c>
      <c r="B521" t="inlineStr">
        <is>
          <t>пятьсот девятнадцать</t>
        </is>
      </c>
      <c r="C521" t="inlineStr">
        <is>
          <t>рублей</t>
        </is>
      </c>
      <c r="D521" t="inlineStr">
        <is>
          <t>пятьсот девятнадцать</t>
        </is>
      </c>
      <c r="E521" t="inlineStr">
        <is>
          <t>тысяч</t>
        </is>
      </c>
      <c r="F521" t="inlineStr">
        <is>
          <t>копеек</t>
        </is>
      </c>
    </row>
    <row r="522">
      <c r="A522" t="n">
        <v>520</v>
      </c>
      <c r="B522" t="inlineStr">
        <is>
          <t>пятьсот двадцать</t>
        </is>
      </c>
      <c r="C522" t="inlineStr">
        <is>
          <t>рублей</t>
        </is>
      </c>
      <c r="D522" t="inlineStr">
        <is>
          <t>пятьсот двадцать</t>
        </is>
      </c>
      <c r="E522" t="inlineStr">
        <is>
          <t>тысяч</t>
        </is>
      </c>
      <c r="F522" t="inlineStr">
        <is>
          <t>копеек</t>
        </is>
      </c>
    </row>
    <row r="523">
      <c r="A523" t="n">
        <v>521</v>
      </c>
      <c r="B523" t="inlineStr">
        <is>
          <t>пятьсот двадцать один</t>
        </is>
      </c>
      <c r="C523" t="inlineStr">
        <is>
          <t>рубль</t>
        </is>
      </c>
      <c r="D523" t="inlineStr">
        <is>
          <t>пятьсот двадцать одна</t>
        </is>
      </c>
      <c r="E523" t="inlineStr">
        <is>
          <t>тысяча</t>
        </is>
      </c>
      <c r="F523" t="inlineStr">
        <is>
          <t>копейка</t>
        </is>
      </c>
    </row>
    <row r="524">
      <c r="A524" t="n">
        <v>522</v>
      </c>
      <c r="B524" t="inlineStr">
        <is>
          <t>пятьсот двадцать два</t>
        </is>
      </c>
      <c r="C524" t="inlineStr">
        <is>
          <t>рубля</t>
        </is>
      </c>
      <c r="D524" t="inlineStr">
        <is>
          <t>пятьсот двадцать две</t>
        </is>
      </c>
      <c r="E524" t="inlineStr">
        <is>
          <t>тысячи</t>
        </is>
      </c>
      <c r="F524" t="inlineStr">
        <is>
          <t>копейки</t>
        </is>
      </c>
    </row>
    <row r="525">
      <c r="A525" t="n">
        <v>523</v>
      </c>
      <c r="B525" t="inlineStr">
        <is>
          <t>пятьсот двадцать три</t>
        </is>
      </c>
      <c r="C525" t="inlineStr">
        <is>
          <t>рубля</t>
        </is>
      </c>
      <c r="D525" t="inlineStr">
        <is>
          <t>пятьсот двадцать три</t>
        </is>
      </c>
      <c r="E525" t="inlineStr">
        <is>
          <t>тысячи</t>
        </is>
      </c>
      <c r="F525" t="inlineStr">
        <is>
          <t>копейки</t>
        </is>
      </c>
    </row>
    <row r="526">
      <c r="A526" t="n">
        <v>524</v>
      </c>
      <c r="B526" t="inlineStr">
        <is>
          <t>пятьсот двадцать четыре</t>
        </is>
      </c>
      <c r="C526" t="inlineStr">
        <is>
          <t>рубля</t>
        </is>
      </c>
      <c r="D526" t="inlineStr">
        <is>
          <t>пятьсот двадцать четыре</t>
        </is>
      </c>
      <c r="E526" t="inlineStr">
        <is>
          <t>тысячи</t>
        </is>
      </c>
      <c r="F526" t="inlineStr">
        <is>
          <t>копейки</t>
        </is>
      </c>
    </row>
    <row r="527">
      <c r="A527" t="n">
        <v>525</v>
      </c>
      <c r="B527" t="inlineStr">
        <is>
          <t>пятьсот двадцать пять</t>
        </is>
      </c>
      <c r="C527" t="inlineStr">
        <is>
          <t>рублей</t>
        </is>
      </c>
      <c r="D527" t="inlineStr">
        <is>
          <t>пятьсот двадцать пять</t>
        </is>
      </c>
      <c r="E527" t="inlineStr">
        <is>
          <t>тысяч</t>
        </is>
      </c>
      <c r="F527" t="inlineStr">
        <is>
          <t>копеек</t>
        </is>
      </c>
    </row>
    <row r="528">
      <c r="A528" t="n">
        <v>526</v>
      </c>
      <c r="B528" t="inlineStr">
        <is>
          <t>пятьсот двадцать шесть</t>
        </is>
      </c>
      <c r="C528" t="inlineStr">
        <is>
          <t>рублей</t>
        </is>
      </c>
      <c r="D528" t="inlineStr">
        <is>
          <t>пятьсот двадцать шесть</t>
        </is>
      </c>
      <c r="E528" t="inlineStr">
        <is>
          <t>тысяч</t>
        </is>
      </c>
      <c r="F528" t="inlineStr">
        <is>
          <t>копеек</t>
        </is>
      </c>
    </row>
    <row r="529">
      <c r="A529" t="n">
        <v>527</v>
      </c>
      <c r="B529" t="inlineStr">
        <is>
          <t>пятьсот двадцать семь</t>
        </is>
      </c>
      <c r="C529" t="inlineStr">
        <is>
          <t>рублей</t>
        </is>
      </c>
      <c r="D529" t="inlineStr">
        <is>
          <t>пятьсот двадцать семь</t>
        </is>
      </c>
      <c r="E529" t="inlineStr">
        <is>
          <t>тысяч</t>
        </is>
      </c>
      <c r="F529" t="inlineStr">
        <is>
          <t>копеек</t>
        </is>
      </c>
    </row>
    <row r="530">
      <c r="A530" t="n">
        <v>528</v>
      </c>
      <c r="B530" t="inlineStr">
        <is>
          <t>пятьсот двадцать восемь</t>
        </is>
      </c>
      <c r="C530" t="inlineStr">
        <is>
          <t>рублей</t>
        </is>
      </c>
      <c r="D530" t="inlineStr">
        <is>
          <t>пятьсот двадцать восемь</t>
        </is>
      </c>
      <c r="E530" t="inlineStr">
        <is>
          <t>тысяч</t>
        </is>
      </c>
      <c r="F530" t="inlineStr">
        <is>
          <t>копеек</t>
        </is>
      </c>
    </row>
    <row r="531">
      <c r="A531" t="n">
        <v>529</v>
      </c>
      <c r="B531" t="inlineStr">
        <is>
          <t>пятьсот двадцать девять</t>
        </is>
      </c>
      <c r="C531" t="inlineStr">
        <is>
          <t>рублей</t>
        </is>
      </c>
      <c r="D531" t="inlineStr">
        <is>
          <t>пятьсот двадцать девять</t>
        </is>
      </c>
      <c r="E531" t="inlineStr">
        <is>
          <t>тысяч</t>
        </is>
      </c>
      <c r="F531" t="inlineStr">
        <is>
          <t>копеек</t>
        </is>
      </c>
    </row>
    <row r="532">
      <c r="A532" t="n">
        <v>530</v>
      </c>
      <c r="B532" t="inlineStr">
        <is>
          <t>пятьсот тридцать</t>
        </is>
      </c>
      <c r="C532" t="inlineStr">
        <is>
          <t>рублей</t>
        </is>
      </c>
      <c r="D532" t="inlineStr">
        <is>
          <t>пятьсот тридцать</t>
        </is>
      </c>
      <c r="E532" t="inlineStr">
        <is>
          <t>тысяч</t>
        </is>
      </c>
      <c r="F532" t="inlineStr">
        <is>
          <t>копеек</t>
        </is>
      </c>
    </row>
    <row r="533">
      <c r="A533" t="n">
        <v>531</v>
      </c>
      <c r="B533" t="inlineStr">
        <is>
          <t>пятьсот тридцать один</t>
        </is>
      </c>
      <c r="C533" t="inlineStr">
        <is>
          <t>рубль</t>
        </is>
      </c>
      <c r="D533" t="inlineStr">
        <is>
          <t>пятьсот тридцать одна</t>
        </is>
      </c>
      <c r="E533" t="inlineStr">
        <is>
          <t>тысяча</t>
        </is>
      </c>
      <c r="F533" t="inlineStr">
        <is>
          <t>копейка</t>
        </is>
      </c>
    </row>
    <row r="534">
      <c r="A534" t="n">
        <v>532</v>
      </c>
      <c r="B534" t="inlineStr">
        <is>
          <t>пятьсот тридцать два</t>
        </is>
      </c>
      <c r="C534" t="inlineStr">
        <is>
          <t>рубля</t>
        </is>
      </c>
      <c r="D534" t="inlineStr">
        <is>
          <t>пятьсот тридцать две</t>
        </is>
      </c>
      <c r="E534" t="inlineStr">
        <is>
          <t>тысячи</t>
        </is>
      </c>
      <c r="F534" t="inlineStr">
        <is>
          <t>копейки</t>
        </is>
      </c>
    </row>
    <row r="535">
      <c r="A535" t="n">
        <v>533</v>
      </c>
      <c r="B535" t="inlineStr">
        <is>
          <t>пятьсот тридцать три</t>
        </is>
      </c>
      <c r="C535" t="inlineStr">
        <is>
          <t>рубля</t>
        </is>
      </c>
      <c r="D535" t="inlineStr">
        <is>
          <t>пятьсот тридцать три</t>
        </is>
      </c>
      <c r="E535" t="inlineStr">
        <is>
          <t>тысячи</t>
        </is>
      </c>
      <c r="F535" t="inlineStr">
        <is>
          <t>копейки</t>
        </is>
      </c>
    </row>
    <row r="536">
      <c r="A536" t="n">
        <v>534</v>
      </c>
      <c r="B536" t="inlineStr">
        <is>
          <t>пятьсот тридцать четыре</t>
        </is>
      </c>
      <c r="C536" t="inlineStr">
        <is>
          <t>рубля</t>
        </is>
      </c>
      <c r="D536" t="inlineStr">
        <is>
          <t>пятьсот тридцать четыре</t>
        </is>
      </c>
      <c r="E536" t="inlineStr">
        <is>
          <t>тысячи</t>
        </is>
      </c>
      <c r="F536" t="inlineStr">
        <is>
          <t>копейки</t>
        </is>
      </c>
    </row>
    <row r="537">
      <c r="A537" t="n">
        <v>535</v>
      </c>
      <c r="B537" t="inlineStr">
        <is>
          <t>пятьсот тридцать пять</t>
        </is>
      </c>
      <c r="C537" t="inlineStr">
        <is>
          <t>рублей</t>
        </is>
      </c>
      <c r="D537" t="inlineStr">
        <is>
          <t>пятьсот тридцать пять</t>
        </is>
      </c>
      <c r="E537" t="inlineStr">
        <is>
          <t>тысяч</t>
        </is>
      </c>
      <c r="F537" t="inlineStr">
        <is>
          <t>копеек</t>
        </is>
      </c>
    </row>
    <row r="538">
      <c r="A538" t="n">
        <v>536</v>
      </c>
      <c r="B538" t="inlineStr">
        <is>
          <t>пятьсот тридцать шесть</t>
        </is>
      </c>
      <c r="C538" t="inlineStr">
        <is>
          <t>рублей</t>
        </is>
      </c>
      <c r="D538" t="inlineStr">
        <is>
          <t>пятьсот тридцать шесть</t>
        </is>
      </c>
      <c r="E538" t="inlineStr">
        <is>
          <t>тысяч</t>
        </is>
      </c>
      <c r="F538" t="inlineStr">
        <is>
          <t>копеек</t>
        </is>
      </c>
    </row>
    <row r="539">
      <c r="A539" t="n">
        <v>537</v>
      </c>
      <c r="B539" t="inlineStr">
        <is>
          <t>пятьсот тридцать семь</t>
        </is>
      </c>
      <c r="C539" t="inlineStr">
        <is>
          <t>рублей</t>
        </is>
      </c>
      <c r="D539" t="inlineStr">
        <is>
          <t>пятьсот тридцать семь</t>
        </is>
      </c>
      <c r="E539" t="inlineStr">
        <is>
          <t>тысяч</t>
        </is>
      </c>
      <c r="F539" t="inlineStr">
        <is>
          <t>копеек</t>
        </is>
      </c>
    </row>
    <row r="540">
      <c r="A540" t="n">
        <v>538</v>
      </c>
      <c r="B540" t="inlineStr">
        <is>
          <t>пятьсот тридцать восемь</t>
        </is>
      </c>
      <c r="C540" t="inlineStr">
        <is>
          <t>рублей</t>
        </is>
      </c>
      <c r="D540" t="inlineStr">
        <is>
          <t>пятьсот тридцать восемь</t>
        </is>
      </c>
      <c r="E540" t="inlineStr">
        <is>
          <t>тысяч</t>
        </is>
      </c>
      <c r="F540" t="inlineStr">
        <is>
          <t>копеек</t>
        </is>
      </c>
    </row>
    <row r="541">
      <c r="A541" t="n">
        <v>539</v>
      </c>
      <c r="B541" t="inlineStr">
        <is>
          <t>пятьсот тридцать девять</t>
        </is>
      </c>
      <c r="C541" t="inlineStr">
        <is>
          <t>рублей</t>
        </is>
      </c>
      <c r="D541" t="inlineStr">
        <is>
          <t>пятьсот тридцать девять</t>
        </is>
      </c>
      <c r="E541" t="inlineStr">
        <is>
          <t>тысяч</t>
        </is>
      </c>
      <c r="F541" t="inlineStr">
        <is>
          <t>копеек</t>
        </is>
      </c>
    </row>
    <row r="542">
      <c r="A542" t="n">
        <v>540</v>
      </c>
      <c r="B542" t="inlineStr">
        <is>
          <t>пятьсот сорок</t>
        </is>
      </c>
      <c r="C542" t="inlineStr">
        <is>
          <t>рублей</t>
        </is>
      </c>
      <c r="D542" t="inlineStr">
        <is>
          <t>пятьсот сорок</t>
        </is>
      </c>
      <c r="E542" t="inlineStr">
        <is>
          <t>тысяч</t>
        </is>
      </c>
      <c r="F542" t="inlineStr">
        <is>
          <t>копеек</t>
        </is>
      </c>
    </row>
    <row r="543">
      <c r="A543" t="n">
        <v>541</v>
      </c>
      <c r="B543" t="inlineStr">
        <is>
          <t>пятьсот сорок один</t>
        </is>
      </c>
      <c r="C543" t="inlineStr">
        <is>
          <t>рубль</t>
        </is>
      </c>
      <c r="D543" t="inlineStr">
        <is>
          <t>пятьсот сорок одна</t>
        </is>
      </c>
      <c r="E543" t="inlineStr">
        <is>
          <t>тысяча</t>
        </is>
      </c>
      <c r="F543" t="inlineStr">
        <is>
          <t>копейка</t>
        </is>
      </c>
    </row>
    <row r="544">
      <c r="A544" t="n">
        <v>542</v>
      </c>
      <c r="B544" t="inlineStr">
        <is>
          <t>пятьсот сорок два</t>
        </is>
      </c>
      <c r="C544" t="inlineStr">
        <is>
          <t>рубля</t>
        </is>
      </c>
      <c r="D544" t="inlineStr">
        <is>
          <t>пятьсот сорок две</t>
        </is>
      </c>
      <c r="E544" t="inlineStr">
        <is>
          <t>тысячи</t>
        </is>
      </c>
      <c r="F544" t="inlineStr">
        <is>
          <t>копейки</t>
        </is>
      </c>
    </row>
    <row r="545">
      <c r="A545" t="n">
        <v>543</v>
      </c>
      <c r="B545" t="inlineStr">
        <is>
          <t>пятьсот сорок три</t>
        </is>
      </c>
      <c r="C545" t="inlineStr">
        <is>
          <t>рубля</t>
        </is>
      </c>
      <c r="D545" t="inlineStr">
        <is>
          <t>пятьсот сорок три</t>
        </is>
      </c>
      <c r="E545" t="inlineStr">
        <is>
          <t>тысячи</t>
        </is>
      </c>
      <c r="F545" t="inlineStr">
        <is>
          <t>копейки</t>
        </is>
      </c>
    </row>
    <row r="546">
      <c r="A546" t="n">
        <v>544</v>
      </c>
      <c r="B546" t="inlineStr">
        <is>
          <t>пятьсот сорок четыре</t>
        </is>
      </c>
      <c r="C546" t="inlineStr">
        <is>
          <t>рубля</t>
        </is>
      </c>
      <c r="D546" t="inlineStr">
        <is>
          <t>пятьсот сорок четыре</t>
        </is>
      </c>
      <c r="E546" t="inlineStr">
        <is>
          <t>тысячи</t>
        </is>
      </c>
      <c r="F546" t="inlineStr">
        <is>
          <t>копейки</t>
        </is>
      </c>
    </row>
    <row r="547">
      <c r="A547" t="n">
        <v>545</v>
      </c>
      <c r="B547" t="inlineStr">
        <is>
          <t>пятьсот сорок пять</t>
        </is>
      </c>
      <c r="C547" t="inlineStr">
        <is>
          <t>рублей</t>
        </is>
      </c>
      <c r="D547" t="inlineStr">
        <is>
          <t>пятьсот сорок пять</t>
        </is>
      </c>
      <c r="E547" t="inlineStr">
        <is>
          <t>тысяч</t>
        </is>
      </c>
      <c r="F547" t="inlineStr">
        <is>
          <t>копеек</t>
        </is>
      </c>
    </row>
    <row r="548">
      <c r="A548" t="n">
        <v>546</v>
      </c>
      <c r="B548" t="inlineStr">
        <is>
          <t>пятьсот сорок шесть</t>
        </is>
      </c>
      <c r="C548" t="inlineStr">
        <is>
          <t>рублей</t>
        </is>
      </c>
      <c r="D548" t="inlineStr">
        <is>
          <t>пятьсот сорок шесть</t>
        </is>
      </c>
      <c r="E548" t="inlineStr">
        <is>
          <t>тысяч</t>
        </is>
      </c>
      <c r="F548" t="inlineStr">
        <is>
          <t>копеек</t>
        </is>
      </c>
    </row>
    <row r="549">
      <c r="A549" t="n">
        <v>547</v>
      </c>
      <c r="B549" t="inlineStr">
        <is>
          <t>пятьсот сорок семь</t>
        </is>
      </c>
      <c r="C549" t="inlineStr">
        <is>
          <t>рублей</t>
        </is>
      </c>
      <c r="D549" t="inlineStr">
        <is>
          <t>пятьсот сорок семь</t>
        </is>
      </c>
      <c r="E549" t="inlineStr">
        <is>
          <t>тысяч</t>
        </is>
      </c>
      <c r="F549" t="inlineStr">
        <is>
          <t>копеек</t>
        </is>
      </c>
    </row>
    <row r="550">
      <c r="A550" t="n">
        <v>548</v>
      </c>
      <c r="B550" t="inlineStr">
        <is>
          <t>пятьсот сорок восемь</t>
        </is>
      </c>
      <c r="C550" t="inlineStr">
        <is>
          <t>рублей</t>
        </is>
      </c>
      <c r="D550" t="inlineStr">
        <is>
          <t>пятьсот сорок восемь</t>
        </is>
      </c>
      <c r="E550" t="inlineStr">
        <is>
          <t>тысяч</t>
        </is>
      </c>
      <c r="F550" t="inlineStr">
        <is>
          <t>копеек</t>
        </is>
      </c>
    </row>
    <row r="551">
      <c r="A551" t="n">
        <v>549</v>
      </c>
      <c r="B551" t="inlineStr">
        <is>
          <t>пятьсот сорок девять</t>
        </is>
      </c>
      <c r="C551" t="inlineStr">
        <is>
          <t>рублей</t>
        </is>
      </c>
      <c r="D551" t="inlineStr">
        <is>
          <t>пятьсот сорок девять</t>
        </is>
      </c>
      <c r="E551" t="inlineStr">
        <is>
          <t>тысяч</t>
        </is>
      </c>
      <c r="F551" t="inlineStr">
        <is>
          <t>копеек</t>
        </is>
      </c>
    </row>
    <row r="552">
      <c r="A552" t="n">
        <v>550</v>
      </c>
      <c r="B552" t="inlineStr">
        <is>
          <t>пятьсот пятьдесят</t>
        </is>
      </c>
      <c r="C552" t="inlineStr">
        <is>
          <t>рублей</t>
        </is>
      </c>
      <c r="D552" t="inlineStr">
        <is>
          <t>пятьсот пятьдесят</t>
        </is>
      </c>
      <c r="E552" t="inlineStr">
        <is>
          <t>тысяч</t>
        </is>
      </c>
      <c r="F552" t="inlineStr">
        <is>
          <t>копеек</t>
        </is>
      </c>
    </row>
    <row r="553">
      <c r="A553" t="n">
        <v>551</v>
      </c>
      <c r="B553" t="inlineStr">
        <is>
          <t>пятьсот пятьдесят один</t>
        </is>
      </c>
      <c r="C553" t="inlineStr">
        <is>
          <t>рубль</t>
        </is>
      </c>
      <c r="D553" t="inlineStr">
        <is>
          <t>пятьсот пятьдесят одна</t>
        </is>
      </c>
      <c r="E553" t="inlineStr">
        <is>
          <t>тысяча</t>
        </is>
      </c>
      <c r="F553" t="inlineStr">
        <is>
          <t>копейка</t>
        </is>
      </c>
    </row>
    <row r="554">
      <c r="A554" t="n">
        <v>552</v>
      </c>
      <c r="B554" t="inlineStr">
        <is>
          <t>пятьсот пятьдесят два</t>
        </is>
      </c>
      <c r="C554" t="inlineStr">
        <is>
          <t>рубля</t>
        </is>
      </c>
      <c r="D554" t="inlineStr">
        <is>
          <t>пятьсот пятьдесят две</t>
        </is>
      </c>
      <c r="E554" t="inlineStr">
        <is>
          <t>тысячи</t>
        </is>
      </c>
      <c r="F554" t="inlineStr">
        <is>
          <t>копейки</t>
        </is>
      </c>
    </row>
    <row r="555">
      <c r="A555" t="n">
        <v>553</v>
      </c>
      <c r="B555" t="inlineStr">
        <is>
          <t>пятьсот пятьдесят три</t>
        </is>
      </c>
      <c r="C555" t="inlineStr">
        <is>
          <t>рубля</t>
        </is>
      </c>
      <c r="D555" t="inlineStr">
        <is>
          <t>пятьсот пятьдесят три</t>
        </is>
      </c>
      <c r="E555" t="inlineStr">
        <is>
          <t>тысячи</t>
        </is>
      </c>
      <c r="F555" t="inlineStr">
        <is>
          <t>копейки</t>
        </is>
      </c>
    </row>
    <row r="556">
      <c r="A556" t="n">
        <v>554</v>
      </c>
      <c r="B556" t="inlineStr">
        <is>
          <t>пятьсот пятьдесят четыре</t>
        </is>
      </c>
      <c r="C556" t="inlineStr">
        <is>
          <t>рубля</t>
        </is>
      </c>
      <c r="D556" t="inlineStr">
        <is>
          <t>пятьсот пятьдесят четыре</t>
        </is>
      </c>
      <c r="E556" t="inlineStr">
        <is>
          <t>тысячи</t>
        </is>
      </c>
      <c r="F556" t="inlineStr">
        <is>
          <t>копейки</t>
        </is>
      </c>
    </row>
    <row r="557">
      <c r="A557" t="n">
        <v>555</v>
      </c>
      <c r="B557" t="inlineStr">
        <is>
          <t>пятьсот пятьдесят пять</t>
        </is>
      </c>
      <c r="C557" t="inlineStr">
        <is>
          <t>рублей</t>
        </is>
      </c>
      <c r="D557" t="inlineStr">
        <is>
          <t>пятьсот пятьдесят пять</t>
        </is>
      </c>
      <c r="E557" t="inlineStr">
        <is>
          <t>тысяч</t>
        </is>
      </c>
      <c r="F557" t="inlineStr">
        <is>
          <t>копеек</t>
        </is>
      </c>
    </row>
    <row r="558">
      <c r="A558" t="n">
        <v>556</v>
      </c>
      <c r="B558" t="inlineStr">
        <is>
          <t>пятьсот пятьдесят шесть</t>
        </is>
      </c>
      <c r="C558" t="inlineStr">
        <is>
          <t>рублей</t>
        </is>
      </c>
      <c r="D558" t="inlineStr">
        <is>
          <t>пятьсот пятьдесят шесть</t>
        </is>
      </c>
      <c r="E558" t="inlineStr">
        <is>
          <t>тысяч</t>
        </is>
      </c>
      <c r="F558" t="inlineStr">
        <is>
          <t>копеек</t>
        </is>
      </c>
    </row>
    <row r="559">
      <c r="A559" t="n">
        <v>557</v>
      </c>
      <c r="B559" t="inlineStr">
        <is>
          <t>пятьсот пятьдесят семь</t>
        </is>
      </c>
      <c r="C559" t="inlineStr">
        <is>
          <t>рублей</t>
        </is>
      </c>
      <c r="D559" t="inlineStr">
        <is>
          <t>пятьсот пятьдесят семь</t>
        </is>
      </c>
      <c r="E559" t="inlineStr">
        <is>
          <t>тысяч</t>
        </is>
      </c>
      <c r="F559" t="inlineStr">
        <is>
          <t>копеек</t>
        </is>
      </c>
    </row>
    <row r="560">
      <c r="A560" t="n">
        <v>558</v>
      </c>
      <c r="B560" t="inlineStr">
        <is>
          <t>пятьсот пятьдесят восемь</t>
        </is>
      </c>
      <c r="C560" t="inlineStr">
        <is>
          <t>рублей</t>
        </is>
      </c>
      <c r="D560" t="inlineStr">
        <is>
          <t>пятьсот пятьдесят восемь</t>
        </is>
      </c>
      <c r="E560" t="inlineStr">
        <is>
          <t>тысяч</t>
        </is>
      </c>
      <c r="F560" t="inlineStr">
        <is>
          <t>копеек</t>
        </is>
      </c>
    </row>
    <row r="561">
      <c r="A561" t="n">
        <v>559</v>
      </c>
      <c r="B561" t="inlineStr">
        <is>
          <t>пятьсот пятьдесят девять</t>
        </is>
      </c>
      <c r="C561" t="inlineStr">
        <is>
          <t>рублей</t>
        </is>
      </c>
      <c r="D561" t="inlineStr">
        <is>
          <t>пятьсот пятьдесят девять</t>
        </is>
      </c>
      <c r="E561" t="inlineStr">
        <is>
          <t>тысяч</t>
        </is>
      </c>
      <c r="F561" t="inlineStr">
        <is>
          <t>копеек</t>
        </is>
      </c>
    </row>
    <row r="562">
      <c r="A562" t="n">
        <v>560</v>
      </c>
      <c r="B562" t="inlineStr">
        <is>
          <t>пятьсот шестьдесят</t>
        </is>
      </c>
      <c r="C562" t="inlineStr">
        <is>
          <t>рублей</t>
        </is>
      </c>
      <c r="D562" t="inlineStr">
        <is>
          <t>пятьсот шестьдесят</t>
        </is>
      </c>
      <c r="E562" t="inlineStr">
        <is>
          <t>тысяч</t>
        </is>
      </c>
      <c r="F562" t="inlineStr">
        <is>
          <t>копеек</t>
        </is>
      </c>
    </row>
    <row r="563">
      <c r="A563" t="n">
        <v>561</v>
      </c>
      <c r="B563" t="inlineStr">
        <is>
          <t>пятьсот шестьдесят один</t>
        </is>
      </c>
      <c r="C563" t="inlineStr">
        <is>
          <t>рубль</t>
        </is>
      </c>
      <c r="D563" t="inlineStr">
        <is>
          <t>пятьсот шестьдесят одна</t>
        </is>
      </c>
      <c r="E563" t="inlineStr">
        <is>
          <t>тысяча</t>
        </is>
      </c>
      <c r="F563" t="inlineStr">
        <is>
          <t>копейка</t>
        </is>
      </c>
    </row>
    <row r="564">
      <c r="A564" t="n">
        <v>562</v>
      </c>
      <c r="B564" t="inlineStr">
        <is>
          <t>пятьсот шестьдесят два</t>
        </is>
      </c>
      <c r="C564" t="inlineStr">
        <is>
          <t>рубля</t>
        </is>
      </c>
      <c r="D564" t="inlineStr">
        <is>
          <t>пятьсот шестьдесят две</t>
        </is>
      </c>
      <c r="E564" t="inlineStr">
        <is>
          <t>тысячи</t>
        </is>
      </c>
      <c r="F564" t="inlineStr">
        <is>
          <t>копейки</t>
        </is>
      </c>
    </row>
    <row r="565">
      <c r="A565" t="n">
        <v>563</v>
      </c>
      <c r="B565" t="inlineStr">
        <is>
          <t>пятьсот шестьдесят три</t>
        </is>
      </c>
      <c r="C565" t="inlineStr">
        <is>
          <t>рубля</t>
        </is>
      </c>
      <c r="D565" t="inlineStr">
        <is>
          <t>пятьсот шестьдесят три</t>
        </is>
      </c>
      <c r="E565" t="inlineStr">
        <is>
          <t>тысячи</t>
        </is>
      </c>
      <c r="F565" t="inlineStr">
        <is>
          <t>копейки</t>
        </is>
      </c>
    </row>
    <row r="566">
      <c r="A566" t="n">
        <v>564</v>
      </c>
      <c r="B566" t="inlineStr">
        <is>
          <t>пятьсот шестьдесят четыре</t>
        </is>
      </c>
      <c r="C566" t="inlineStr">
        <is>
          <t>рубля</t>
        </is>
      </c>
      <c r="D566" t="inlineStr">
        <is>
          <t>пятьсот шестьдесят четыре</t>
        </is>
      </c>
      <c r="E566" t="inlineStr">
        <is>
          <t>тысячи</t>
        </is>
      </c>
      <c r="F566" t="inlineStr">
        <is>
          <t>копейки</t>
        </is>
      </c>
    </row>
    <row r="567">
      <c r="A567" t="n">
        <v>565</v>
      </c>
      <c r="B567" t="inlineStr">
        <is>
          <t>пятьсот шестьдесят пять</t>
        </is>
      </c>
      <c r="C567" t="inlineStr">
        <is>
          <t>рублей</t>
        </is>
      </c>
      <c r="D567" t="inlineStr">
        <is>
          <t>пятьсот шестьдесят пять</t>
        </is>
      </c>
      <c r="E567" t="inlineStr">
        <is>
          <t>тысяч</t>
        </is>
      </c>
      <c r="F567" t="inlineStr">
        <is>
          <t>копеек</t>
        </is>
      </c>
    </row>
    <row r="568">
      <c r="A568" t="n">
        <v>566</v>
      </c>
      <c r="B568" t="inlineStr">
        <is>
          <t>пятьсот шестьдесят шесть</t>
        </is>
      </c>
      <c r="C568" t="inlineStr">
        <is>
          <t>рублей</t>
        </is>
      </c>
      <c r="D568" t="inlineStr">
        <is>
          <t>пятьсот шестьдесят шесть</t>
        </is>
      </c>
      <c r="E568" t="inlineStr">
        <is>
          <t>тысяч</t>
        </is>
      </c>
      <c r="F568" t="inlineStr">
        <is>
          <t>копеек</t>
        </is>
      </c>
    </row>
    <row r="569">
      <c r="A569" t="n">
        <v>567</v>
      </c>
      <c r="B569" t="inlineStr">
        <is>
          <t>пятьсот шестьдесят семь</t>
        </is>
      </c>
      <c r="C569" t="inlineStr">
        <is>
          <t>рублей</t>
        </is>
      </c>
      <c r="D569" t="inlineStr">
        <is>
          <t>пятьсот шестьдесят семь</t>
        </is>
      </c>
      <c r="E569" t="inlineStr">
        <is>
          <t>тысяч</t>
        </is>
      </c>
      <c r="F569" t="inlineStr">
        <is>
          <t>копеек</t>
        </is>
      </c>
    </row>
    <row r="570">
      <c r="A570" t="n">
        <v>568</v>
      </c>
      <c r="B570" t="inlineStr">
        <is>
          <t>пятьсот шестьдесят восемь</t>
        </is>
      </c>
      <c r="C570" t="inlineStr">
        <is>
          <t>рублей</t>
        </is>
      </c>
      <c r="D570" t="inlineStr">
        <is>
          <t>пятьсот шестьдесят восемь</t>
        </is>
      </c>
      <c r="E570" t="inlineStr">
        <is>
          <t>тысяч</t>
        </is>
      </c>
      <c r="F570" t="inlineStr">
        <is>
          <t>копеек</t>
        </is>
      </c>
    </row>
    <row r="571">
      <c r="A571" t="n">
        <v>569</v>
      </c>
      <c r="B571" t="inlineStr">
        <is>
          <t>пятьсот шестьдесят девять</t>
        </is>
      </c>
      <c r="C571" t="inlineStr">
        <is>
          <t>рублей</t>
        </is>
      </c>
      <c r="D571" t="inlineStr">
        <is>
          <t>пятьсот шестьдесят девять</t>
        </is>
      </c>
      <c r="E571" t="inlineStr">
        <is>
          <t>тысяч</t>
        </is>
      </c>
      <c r="F571" t="inlineStr">
        <is>
          <t>копеек</t>
        </is>
      </c>
    </row>
    <row r="572">
      <c r="A572" t="n">
        <v>570</v>
      </c>
      <c r="B572" t="inlineStr">
        <is>
          <t>пятьсот семьдесят</t>
        </is>
      </c>
      <c r="C572" t="inlineStr">
        <is>
          <t>рублей</t>
        </is>
      </c>
      <c r="D572" t="inlineStr">
        <is>
          <t>пятьсот семьдесят</t>
        </is>
      </c>
      <c r="E572" t="inlineStr">
        <is>
          <t>тысяч</t>
        </is>
      </c>
      <c r="F572" t="inlineStr">
        <is>
          <t>копеек</t>
        </is>
      </c>
    </row>
    <row r="573">
      <c r="A573" t="n">
        <v>571</v>
      </c>
      <c r="B573" t="inlineStr">
        <is>
          <t>пятьсот семьдесят один</t>
        </is>
      </c>
      <c r="C573" t="inlineStr">
        <is>
          <t>рубль</t>
        </is>
      </c>
      <c r="D573" t="inlineStr">
        <is>
          <t>пятьсот семьдесят одна</t>
        </is>
      </c>
      <c r="E573" t="inlineStr">
        <is>
          <t>тысяча</t>
        </is>
      </c>
      <c r="F573" t="inlineStr">
        <is>
          <t>копейка</t>
        </is>
      </c>
    </row>
    <row r="574">
      <c r="A574" t="n">
        <v>572</v>
      </c>
      <c r="B574" t="inlineStr">
        <is>
          <t>пятьсот семьдесят два</t>
        </is>
      </c>
      <c r="C574" t="inlineStr">
        <is>
          <t>рубля</t>
        </is>
      </c>
      <c r="D574" t="inlineStr">
        <is>
          <t>пятьсот семьдесят две</t>
        </is>
      </c>
      <c r="E574" t="inlineStr">
        <is>
          <t>тысячи</t>
        </is>
      </c>
      <c r="F574" t="inlineStr">
        <is>
          <t>копейки</t>
        </is>
      </c>
    </row>
    <row r="575">
      <c r="A575" t="n">
        <v>573</v>
      </c>
      <c r="B575" t="inlineStr">
        <is>
          <t>пятьсот семьдесят три</t>
        </is>
      </c>
      <c r="C575" t="inlineStr">
        <is>
          <t>рубля</t>
        </is>
      </c>
      <c r="D575" t="inlineStr">
        <is>
          <t>пятьсот семьдесят три</t>
        </is>
      </c>
      <c r="E575" t="inlineStr">
        <is>
          <t>тысячи</t>
        </is>
      </c>
      <c r="F575" t="inlineStr">
        <is>
          <t>копейки</t>
        </is>
      </c>
    </row>
    <row r="576">
      <c r="A576" t="n">
        <v>574</v>
      </c>
      <c r="B576" t="inlineStr">
        <is>
          <t>пятьсот семьдесят четыре</t>
        </is>
      </c>
      <c r="C576" t="inlineStr">
        <is>
          <t>рубля</t>
        </is>
      </c>
      <c r="D576" t="inlineStr">
        <is>
          <t>пятьсот семьдесят четыре</t>
        </is>
      </c>
      <c r="E576" t="inlineStr">
        <is>
          <t>тысячи</t>
        </is>
      </c>
      <c r="F576" t="inlineStr">
        <is>
          <t>копейки</t>
        </is>
      </c>
    </row>
    <row r="577">
      <c r="A577" t="n">
        <v>575</v>
      </c>
      <c r="B577" t="inlineStr">
        <is>
          <t>пятьсот семьдесят пять</t>
        </is>
      </c>
      <c r="C577" t="inlineStr">
        <is>
          <t>рублей</t>
        </is>
      </c>
      <c r="D577" t="inlineStr">
        <is>
          <t>пятьсот семьдесят пять</t>
        </is>
      </c>
      <c r="E577" t="inlineStr">
        <is>
          <t>тысяч</t>
        </is>
      </c>
      <c r="F577" t="inlineStr">
        <is>
          <t>копеек</t>
        </is>
      </c>
    </row>
    <row r="578">
      <c r="A578" t="n">
        <v>576</v>
      </c>
      <c r="B578" t="inlineStr">
        <is>
          <t>пятьсот семьдесят шесть</t>
        </is>
      </c>
      <c r="C578" t="inlineStr">
        <is>
          <t>рублей</t>
        </is>
      </c>
      <c r="D578" t="inlineStr">
        <is>
          <t>пятьсот семьдесят шесть</t>
        </is>
      </c>
      <c r="E578" t="inlineStr">
        <is>
          <t>тысяч</t>
        </is>
      </c>
      <c r="F578" t="inlineStr">
        <is>
          <t>копеек</t>
        </is>
      </c>
    </row>
    <row r="579">
      <c r="A579" t="n">
        <v>577</v>
      </c>
      <c r="B579" t="inlineStr">
        <is>
          <t>пятьсот семьдесят семь</t>
        </is>
      </c>
      <c r="C579" t="inlineStr">
        <is>
          <t>рублей</t>
        </is>
      </c>
      <c r="D579" t="inlineStr">
        <is>
          <t>пятьсот семьдесят семь</t>
        </is>
      </c>
      <c r="E579" t="inlineStr">
        <is>
          <t>тысяч</t>
        </is>
      </c>
      <c r="F579" t="inlineStr">
        <is>
          <t>копеек</t>
        </is>
      </c>
    </row>
    <row r="580">
      <c r="A580" t="n">
        <v>578</v>
      </c>
      <c r="B580" t="inlineStr">
        <is>
          <t>пятьсот семьдесят восемь</t>
        </is>
      </c>
      <c r="C580" t="inlineStr">
        <is>
          <t>рублей</t>
        </is>
      </c>
      <c r="D580" t="inlineStr">
        <is>
          <t>пятьсот семьдесят восемь</t>
        </is>
      </c>
      <c r="E580" t="inlineStr">
        <is>
          <t>тысяч</t>
        </is>
      </c>
      <c r="F580" t="inlineStr">
        <is>
          <t>копеек</t>
        </is>
      </c>
    </row>
    <row r="581">
      <c r="A581" t="n">
        <v>579</v>
      </c>
      <c r="B581" t="inlineStr">
        <is>
          <t>пятьсот семьдесят девять</t>
        </is>
      </c>
      <c r="C581" t="inlineStr">
        <is>
          <t>рублей</t>
        </is>
      </c>
      <c r="D581" t="inlineStr">
        <is>
          <t>пятьсот семьдесят девять</t>
        </is>
      </c>
      <c r="E581" t="inlineStr">
        <is>
          <t>тысяч</t>
        </is>
      </c>
      <c r="F581" t="inlineStr">
        <is>
          <t>копеек</t>
        </is>
      </c>
    </row>
    <row r="582">
      <c r="A582" t="n">
        <v>580</v>
      </c>
      <c r="B582" t="inlineStr">
        <is>
          <t>пятьсот восемьдесят</t>
        </is>
      </c>
      <c r="C582" t="inlineStr">
        <is>
          <t>рублей</t>
        </is>
      </c>
      <c r="D582" t="inlineStr">
        <is>
          <t>пятьсот восемьдесят</t>
        </is>
      </c>
      <c r="E582" t="inlineStr">
        <is>
          <t>тысяч</t>
        </is>
      </c>
      <c r="F582" t="inlineStr">
        <is>
          <t>копеек</t>
        </is>
      </c>
    </row>
    <row r="583">
      <c r="A583" t="n">
        <v>581</v>
      </c>
      <c r="B583" t="inlineStr">
        <is>
          <t>пятьсот восемьдесят один</t>
        </is>
      </c>
      <c r="C583" t="inlineStr">
        <is>
          <t>рубль</t>
        </is>
      </c>
      <c r="D583" t="inlineStr">
        <is>
          <t>пятьсот восемьдесят одна</t>
        </is>
      </c>
      <c r="E583" t="inlineStr">
        <is>
          <t>тысяча</t>
        </is>
      </c>
      <c r="F583" t="inlineStr">
        <is>
          <t>копейка</t>
        </is>
      </c>
    </row>
    <row r="584">
      <c r="A584" t="n">
        <v>582</v>
      </c>
      <c r="B584" t="inlineStr">
        <is>
          <t>пятьсот восемьдесят два</t>
        </is>
      </c>
      <c r="C584" t="inlineStr">
        <is>
          <t>рубля</t>
        </is>
      </c>
      <c r="D584" t="inlineStr">
        <is>
          <t>пятьсот восемьдесят две</t>
        </is>
      </c>
      <c r="E584" t="inlineStr">
        <is>
          <t>тысячи</t>
        </is>
      </c>
      <c r="F584" t="inlineStr">
        <is>
          <t>копейки</t>
        </is>
      </c>
    </row>
    <row r="585">
      <c r="A585" t="n">
        <v>583</v>
      </c>
      <c r="B585" t="inlineStr">
        <is>
          <t>пятьсот восемьдесят три</t>
        </is>
      </c>
      <c r="C585" t="inlineStr">
        <is>
          <t>рубля</t>
        </is>
      </c>
      <c r="D585" t="inlineStr">
        <is>
          <t>пятьсот восемьдесят три</t>
        </is>
      </c>
      <c r="E585" t="inlineStr">
        <is>
          <t>тысячи</t>
        </is>
      </c>
      <c r="F585" t="inlineStr">
        <is>
          <t>копейки</t>
        </is>
      </c>
    </row>
    <row r="586">
      <c r="A586" t="n">
        <v>584</v>
      </c>
      <c r="B586" t="inlineStr">
        <is>
          <t>пятьсот восемьдесят четыре</t>
        </is>
      </c>
      <c r="C586" t="inlineStr">
        <is>
          <t>рубля</t>
        </is>
      </c>
      <c r="D586" t="inlineStr">
        <is>
          <t>пятьсот восемьдесят четыре</t>
        </is>
      </c>
      <c r="E586" t="inlineStr">
        <is>
          <t>тысячи</t>
        </is>
      </c>
      <c r="F586" t="inlineStr">
        <is>
          <t>копейки</t>
        </is>
      </c>
    </row>
    <row r="587">
      <c r="A587" t="n">
        <v>585</v>
      </c>
      <c r="B587" t="inlineStr">
        <is>
          <t>пятьсот восемьдесят пять</t>
        </is>
      </c>
      <c r="C587" t="inlineStr">
        <is>
          <t>рублей</t>
        </is>
      </c>
      <c r="D587" t="inlineStr">
        <is>
          <t>пятьсот восемьдесят пять</t>
        </is>
      </c>
      <c r="E587" t="inlineStr">
        <is>
          <t>тысяч</t>
        </is>
      </c>
      <c r="F587" t="inlineStr">
        <is>
          <t>копеек</t>
        </is>
      </c>
    </row>
    <row r="588">
      <c r="A588" t="n">
        <v>586</v>
      </c>
      <c r="B588" t="inlineStr">
        <is>
          <t>пятьсот восемьдесят шесть</t>
        </is>
      </c>
      <c r="C588" t="inlineStr">
        <is>
          <t>рублей</t>
        </is>
      </c>
      <c r="D588" t="inlineStr">
        <is>
          <t>пятьсот восемьдесят шесть</t>
        </is>
      </c>
      <c r="E588" t="inlineStr">
        <is>
          <t>тысяч</t>
        </is>
      </c>
      <c r="F588" t="inlineStr">
        <is>
          <t>копеек</t>
        </is>
      </c>
    </row>
    <row r="589">
      <c r="A589" t="n">
        <v>587</v>
      </c>
      <c r="B589" t="inlineStr">
        <is>
          <t>пятьсот восемьдесят семь</t>
        </is>
      </c>
      <c r="C589" t="inlineStr">
        <is>
          <t>рублей</t>
        </is>
      </c>
      <c r="D589" t="inlineStr">
        <is>
          <t>пятьсот восемьдесят семь</t>
        </is>
      </c>
      <c r="E589" t="inlineStr">
        <is>
          <t>тысяч</t>
        </is>
      </c>
      <c r="F589" t="inlineStr">
        <is>
          <t>копеек</t>
        </is>
      </c>
    </row>
    <row r="590">
      <c r="A590" t="n">
        <v>588</v>
      </c>
      <c r="B590" t="inlineStr">
        <is>
          <t>пятьсот восемьдесят восемь</t>
        </is>
      </c>
      <c r="C590" t="inlineStr">
        <is>
          <t>рублей</t>
        </is>
      </c>
      <c r="D590" t="inlineStr">
        <is>
          <t>пятьсот восемьдесят восемь</t>
        </is>
      </c>
      <c r="E590" t="inlineStr">
        <is>
          <t>тысяч</t>
        </is>
      </c>
      <c r="F590" t="inlineStr">
        <is>
          <t>копеек</t>
        </is>
      </c>
    </row>
    <row r="591">
      <c r="A591" t="n">
        <v>589</v>
      </c>
      <c r="B591" t="inlineStr">
        <is>
          <t>пятьсот восемьдесят девять</t>
        </is>
      </c>
      <c r="C591" t="inlineStr">
        <is>
          <t>рублей</t>
        </is>
      </c>
      <c r="D591" t="inlineStr">
        <is>
          <t>пятьсот восемьдесят девять</t>
        </is>
      </c>
      <c r="E591" t="inlineStr">
        <is>
          <t>тысяч</t>
        </is>
      </c>
      <c r="F591" t="inlineStr">
        <is>
          <t>копеек</t>
        </is>
      </c>
    </row>
    <row r="592">
      <c r="A592" t="n">
        <v>590</v>
      </c>
      <c r="B592" t="inlineStr">
        <is>
          <t>пятьсот девяносто</t>
        </is>
      </c>
      <c r="C592" t="inlineStr">
        <is>
          <t>рублей</t>
        </is>
      </c>
      <c r="D592" t="inlineStr">
        <is>
          <t>пятьсот девяносто</t>
        </is>
      </c>
      <c r="E592" t="inlineStr">
        <is>
          <t>тысяч</t>
        </is>
      </c>
      <c r="F592" t="inlineStr">
        <is>
          <t>копеек</t>
        </is>
      </c>
    </row>
    <row r="593">
      <c r="A593" t="n">
        <v>591</v>
      </c>
      <c r="B593" t="inlineStr">
        <is>
          <t>пятьсот девяносто один</t>
        </is>
      </c>
      <c r="C593" t="inlineStr">
        <is>
          <t>рубль</t>
        </is>
      </c>
      <c r="D593" t="inlineStr">
        <is>
          <t>пятьсот девяносто одна</t>
        </is>
      </c>
      <c r="E593" t="inlineStr">
        <is>
          <t>тысяча</t>
        </is>
      </c>
      <c r="F593" t="inlineStr">
        <is>
          <t>копейка</t>
        </is>
      </c>
    </row>
    <row r="594">
      <c r="A594" t="n">
        <v>592</v>
      </c>
      <c r="B594" t="inlineStr">
        <is>
          <t>пятьсот девяносто два</t>
        </is>
      </c>
      <c r="C594" t="inlineStr">
        <is>
          <t>рубля</t>
        </is>
      </c>
      <c r="D594" t="inlineStr">
        <is>
          <t>пятьсот девяносто две</t>
        </is>
      </c>
      <c r="E594" t="inlineStr">
        <is>
          <t>тысячи</t>
        </is>
      </c>
      <c r="F594" t="inlineStr">
        <is>
          <t>копейки</t>
        </is>
      </c>
    </row>
    <row r="595">
      <c r="A595" t="n">
        <v>593</v>
      </c>
      <c r="B595" t="inlineStr">
        <is>
          <t>пятьсот девяносто три</t>
        </is>
      </c>
      <c r="C595" t="inlineStr">
        <is>
          <t>рубля</t>
        </is>
      </c>
      <c r="D595" t="inlineStr">
        <is>
          <t>пятьсот девяносто три</t>
        </is>
      </c>
      <c r="E595" t="inlineStr">
        <is>
          <t>тысячи</t>
        </is>
      </c>
      <c r="F595" t="inlineStr">
        <is>
          <t>копейки</t>
        </is>
      </c>
    </row>
    <row r="596">
      <c r="A596" t="n">
        <v>594</v>
      </c>
      <c r="B596" t="inlineStr">
        <is>
          <t>пятьсот девяносто четыре</t>
        </is>
      </c>
      <c r="C596" t="inlineStr">
        <is>
          <t>рубля</t>
        </is>
      </c>
      <c r="D596" t="inlineStr">
        <is>
          <t>пятьсот девяносто четыре</t>
        </is>
      </c>
      <c r="E596" t="inlineStr">
        <is>
          <t>тысячи</t>
        </is>
      </c>
      <c r="F596" t="inlineStr">
        <is>
          <t>копейки</t>
        </is>
      </c>
    </row>
    <row r="597">
      <c r="A597" t="n">
        <v>595</v>
      </c>
      <c r="B597" t="inlineStr">
        <is>
          <t>пятьсот девяносто пять</t>
        </is>
      </c>
      <c r="C597" t="inlineStr">
        <is>
          <t>рублей</t>
        </is>
      </c>
      <c r="D597" t="inlineStr">
        <is>
          <t>пятьсот девяносто пять</t>
        </is>
      </c>
      <c r="E597" t="inlineStr">
        <is>
          <t>тысяч</t>
        </is>
      </c>
      <c r="F597" t="inlineStr">
        <is>
          <t>копеек</t>
        </is>
      </c>
    </row>
    <row r="598">
      <c r="A598" t="n">
        <v>596</v>
      </c>
      <c r="B598" t="inlineStr">
        <is>
          <t>пятьсот девяносто шесть</t>
        </is>
      </c>
      <c r="C598" t="inlineStr">
        <is>
          <t>рублей</t>
        </is>
      </c>
      <c r="D598" t="inlineStr">
        <is>
          <t>пятьсот девяносто шесть</t>
        </is>
      </c>
      <c r="E598" t="inlineStr">
        <is>
          <t>тысяч</t>
        </is>
      </c>
      <c r="F598" t="inlineStr">
        <is>
          <t>копеек</t>
        </is>
      </c>
    </row>
    <row r="599">
      <c r="A599" t="n">
        <v>597</v>
      </c>
      <c r="B599" t="inlineStr">
        <is>
          <t>пятьсот девяносто семь</t>
        </is>
      </c>
      <c r="C599" t="inlineStr">
        <is>
          <t>рублей</t>
        </is>
      </c>
      <c r="D599" t="inlineStr">
        <is>
          <t>пятьсот девяносто семь</t>
        </is>
      </c>
      <c r="E599" t="inlineStr">
        <is>
          <t>тысяч</t>
        </is>
      </c>
      <c r="F599" t="inlineStr">
        <is>
          <t>копеек</t>
        </is>
      </c>
    </row>
    <row r="600">
      <c r="A600" t="n">
        <v>598</v>
      </c>
      <c r="B600" t="inlineStr">
        <is>
          <t>пятьсот девяносто восемь</t>
        </is>
      </c>
      <c r="C600" t="inlineStr">
        <is>
          <t>рублей</t>
        </is>
      </c>
      <c r="D600" t="inlineStr">
        <is>
          <t>пятьсот девяносто восемь</t>
        </is>
      </c>
      <c r="E600" t="inlineStr">
        <is>
          <t>тысяч</t>
        </is>
      </c>
      <c r="F600" t="inlineStr">
        <is>
          <t>копеек</t>
        </is>
      </c>
    </row>
    <row r="601">
      <c r="A601" t="n">
        <v>599</v>
      </c>
      <c r="B601" t="inlineStr">
        <is>
          <t>пятьсот девяносто девять</t>
        </is>
      </c>
      <c r="C601" t="inlineStr">
        <is>
          <t>рублей</t>
        </is>
      </c>
      <c r="D601" t="inlineStr">
        <is>
          <t>пятьсот девяносто девять</t>
        </is>
      </c>
      <c r="E601" t="inlineStr">
        <is>
          <t>тысяч</t>
        </is>
      </c>
      <c r="F601" t="inlineStr">
        <is>
          <t>копеек</t>
        </is>
      </c>
    </row>
    <row r="602">
      <c r="A602" t="n">
        <v>600</v>
      </c>
      <c r="B602" t="inlineStr">
        <is>
          <t>шестьсот</t>
        </is>
      </c>
      <c r="C602" t="inlineStr">
        <is>
          <t>рублей</t>
        </is>
      </c>
      <c r="D602" t="inlineStr">
        <is>
          <t>шестьсот</t>
        </is>
      </c>
      <c r="E602" t="inlineStr">
        <is>
          <t>тысяч</t>
        </is>
      </c>
      <c r="F602" t="inlineStr">
        <is>
          <t>копеек</t>
        </is>
      </c>
    </row>
    <row r="603">
      <c r="A603" t="n">
        <v>601</v>
      </c>
      <c r="B603" t="inlineStr">
        <is>
          <t>шестьсот один</t>
        </is>
      </c>
      <c r="C603" t="inlineStr">
        <is>
          <t>рубль</t>
        </is>
      </c>
      <c r="D603" t="inlineStr">
        <is>
          <t>шестьсот одна</t>
        </is>
      </c>
      <c r="E603" t="inlineStr">
        <is>
          <t>тысяча</t>
        </is>
      </c>
      <c r="F603" t="inlineStr">
        <is>
          <t>копейка</t>
        </is>
      </c>
    </row>
    <row r="604">
      <c r="A604" t="n">
        <v>602</v>
      </c>
      <c r="B604" t="inlineStr">
        <is>
          <t>шестьсот два</t>
        </is>
      </c>
      <c r="C604" t="inlineStr">
        <is>
          <t>рубля</t>
        </is>
      </c>
      <c r="D604" t="inlineStr">
        <is>
          <t>шестьсот две</t>
        </is>
      </c>
      <c r="E604" t="inlineStr">
        <is>
          <t>тысячи</t>
        </is>
      </c>
      <c r="F604" t="inlineStr">
        <is>
          <t>копейки</t>
        </is>
      </c>
    </row>
    <row r="605">
      <c r="A605" t="n">
        <v>603</v>
      </c>
      <c r="B605" t="inlineStr">
        <is>
          <t>шестьсот три</t>
        </is>
      </c>
      <c r="C605" t="inlineStr">
        <is>
          <t>рубля</t>
        </is>
      </c>
      <c r="D605" t="inlineStr">
        <is>
          <t>шестьсот три</t>
        </is>
      </c>
      <c r="E605" t="inlineStr">
        <is>
          <t>тысячи</t>
        </is>
      </c>
      <c r="F605" t="inlineStr">
        <is>
          <t>копейки</t>
        </is>
      </c>
    </row>
    <row r="606">
      <c r="A606" t="n">
        <v>604</v>
      </c>
      <c r="B606" t="inlineStr">
        <is>
          <t>шестьсот четыре</t>
        </is>
      </c>
      <c r="C606" t="inlineStr">
        <is>
          <t>рубля</t>
        </is>
      </c>
      <c r="D606" t="inlineStr">
        <is>
          <t>шестьсот четыре</t>
        </is>
      </c>
      <c r="E606" t="inlineStr">
        <is>
          <t>тысячи</t>
        </is>
      </c>
      <c r="F606" t="inlineStr">
        <is>
          <t>копейки</t>
        </is>
      </c>
    </row>
    <row r="607">
      <c r="A607" t="n">
        <v>605</v>
      </c>
      <c r="B607" t="inlineStr">
        <is>
          <t>шестьсот пять</t>
        </is>
      </c>
      <c r="C607" t="inlineStr">
        <is>
          <t>рублей</t>
        </is>
      </c>
      <c r="D607" t="inlineStr">
        <is>
          <t>шестьсот пять</t>
        </is>
      </c>
      <c r="E607" t="inlineStr">
        <is>
          <t>тысяч</t>
        </is>
      </c>
      <c r="F607" t="inlineStr">
        <is>
          <t>копеек</t>
        </is>
      </c>
    </row>
    <row r="608">
      <c r="A608" t="n">
        <v>606</v>
      </c>
      <c r="B608" t="inlineStr">
        <is>
          <t>шестьсот шесть</t>
        </is>
      </c>
      <c r="C608" t="inlineStr">
        <is>
          <t>рублей</t>
        </is>
      </c>
      <c r="D608" t="inlineStr">
        <is>
          <t>шестьсот шесть</t>
        </is>
      </c>
      <c r="E608" t="inlineStr">
        <is>
          <t>тысяч</t>
        </is>
      </c>
      <c r="F608" t="inlineStr">
        <is>
          <t>копеек</t>
        </is>
      </c>
    </row>
    <row r="609">
      <c r="A609" t="n">
        <v>607</v>
      </c>
      <c r="B609" t="inlineStr">
        <is>
          <t>шестьсот семь</t>
        </is>
      </c>
      <c r="C609" t="inlineStr">
        <is>
          <t>рублей</t>
        </is>
      </c>
      <c r="D609" t="inlineStr">
        <is>
          <t>шестьсот семь</t>
        </is>
      </c>
      <c r="E609" t="inlineStr">
        <is>
          <t>тысяч</t>
        </is>
      </c>
      <c r="F609" t="inlineStr">
        <is>
          <t>копеек</t>
        </is>
      </c>
    </row>
    <row r="610">
      <c r="A610" t="n">
        <v>608</v>
      </c>
      <c r="B610" t="inlineStr">
        <is>
          <t>шестьсот восемь</t>
        </is>
      </c>
      <c r="C610" t="inlineStr">
        <is>
          <t>рублей</t>
        </is>
      </c>
      <c r="D610" t="inlineStr">
        <is>
          <t>шестьсот восемь</t>
        </is>
      </c>
      <c r="E610" t="inlineStr">
        <is>
          <t>тысяч</t>
        </is>
      </c>
      <c r="F610" t="inlineStr">
        <is>
          <t>копеек</t>
        </is>
      </c>
    </row>
    <row r="611">
      <c r="A611" t="n">
        <v>609</v>
      </c>
      <c r="B611" t="inlineStr">
        <is>
          <t>шестьсот девять</t>
        </is>
      </c>
      <c r="C611" t="inlineStr">
        <is>
          <t>рублей</t>
        </is>
      </c>
      <c r="D611" t="inlineStr">
        <is>
          <t>шестьсот девять</t>
        </is>
      </c>
      <c r="E611" t="inlineStr">
        <is>
          <t>тысяч</t>
        </is>
      </c>
      <c r="F611" t="inlineStr">
        <is>
          <t>копеек</t>
        </is>
      </c>
    </row>
    <row r="612">
      <c r="A612" t="n">
        <v>610</v>
      </c>
      <c r="B612" t="inlineStr">
        <is>
          <t>шестьсот десять</t>
        </is>
      </c>
      <c r="C612" t="inlineStr">
        <is>
          <t>рублей</t>
        </is>
      </c>
      <c r="D612" t="inlineStr">
        <is>
          <t>шестьсот десять</t>
        </is>
      </c>
      <c r="E612" t="inlineStr">
        <is>
          <t>тысяч</t>
        </is>
      </c>
      <c r="F612" t="inlineStr">
        <is>
          <t>копеек</t>
        </is>
      </c>
    </row>
    <row r="613">
      <c r="A613" t="n">
        <v>611</v>
      </c>
      <c r="B613" t="inlineStr">
        <is>
          <t>шестьсот одиннадцать</t>
        </is>
      </c>
      <c r="C613" t="inlineStr">
        <is>
          <t>рублей</t>
        </is>
      </c>
      <c r="D613" t="inlineStr">
        <is>
          <t>шестьсот одиннадцать</t>
        </is>
      </c>
      <c r="E613" t="inlineStr">
        <is>
          <t>тысяч</t>
        </is>
      </c>
      <c r="F613" t="inlineStr">
        <is>
          <t>копеек</t>
        </is>
      </c>
    </row>
    <row r="614">
      <c r="A614" t="n">
        <v>612</v>
      </c>
      <c r="B614" t="inlineStr">
        <is>
          <t>шестьсот двенадцать</t>
        </is>
      </c>
      <c r="C614" t="inlineStr">
        <is>
          <t>рублей</t>
        </is>
      </c>
      <c r="D614" t="inlineStr">
        <is>
          <t>шестьсот двенадцать</t>
        </is>
      </c>
      <c r="E614" t="inlineStr">
        <is>
          <t>тысяч</t>
        </is>
      </c>
      <c r="F614" t="inlineStr">
        <is>
          <t>копеек</t>
        </is>
      </c>
    </row>
    <row r="615">
      <c r="A615" t="n">
        <v>613</v>
      </c>
      <c r="B615" t="inlineStr">
        <is>
          <t>шестьсот тринадцать</t>
        </is>
      </c>
      <c r="C615" t="inlineStr">
        <is>
          <t>рублей</t>
        </is>
      </c>
      <c r="D615" t="inlineStr">
        <is>
          <t>шестьсот тринадцать</t>
        </is>
      </c>
      <c r="E615" t="inlineStr">
        <is>
          <t>тысяч</t>
        </is>
      </c>
      <c r="F615" t="inlineStr">
        <is>
          <t>копеек</t>
        </is>
      </c>
    </row>
    <row r="616">
      <c r="A616" t="n">
        <v>614</v>
      </c>
      <c r="B616" t="inlineStr">
        <is>
          <t>шестьсот четырнадцать</t>
        </is>
      </c>
      <c r="C616" t="inlineStr">
        <is>
          <t>рублей</t>
        </is>
      </c>
      <c r="D616" t="inlineStr">
        <is>
          <t>шестьсот четырнадцать</t>
        </is>
      </c>
      <c r="E616" t="inlineStr">
        <is>
          <t>тысяч</t>
        </is>
      </c>
      <c r="F616" t="inlineStr">
        <is>
          <t>копеек</t>
        </is>
      </c>
    </row>
    <row r="617">
      <c r="A617" t="n">
        <v>615</v>
      </c>
      <c r="B617" t="inlineStr">
        <is>
          <t>шестьсот пятнадцать</t>
        </is>
      </c>
      <c r="C617" t="inlineStr">
        <is>
          <t>рублей</t>
        </is>
      </c>
      <c r="D617" t="inlineStr">
        <is>
          <t>шестьсот пятнадцать</t>
        </is>
      </c>
      <c r="E617" t="inlineStr">
        <is>
          <t>тысяч</t>
        </is>
      </c>
      <c r="F617" t="inlineStr">
        <is>
          <t>копеек</t>
        </is>
      </c>
    </row>
    <row r="618">
      <c r="A618" t="n">
        <v>616</v>
      </c>
      <c r="B618" t="inlineStr">
        <is>
          <t>шестьсот шестнадцать</t>
        </is>
      </c>
      <c r="C618" t="inlineStr">
        <is>
          <t>рублей</t>
        </is>
      </c>
      <c r="D618" t="inlineStr">
        <is>
          <t>шестьсот шестнадцать</t>
        </is>
      </c>
      <c r="E618" t="inlineStr">
        <is>
          <t>тысяч</t>
        </is>
      </c>
      <c r="F618" t="inlineStr">
        <is>
          <t>копеек</t>
        </is>
      </c>
    </row>
    <row r="619">
      <c r="A619" t="n">
        <v>617</v>
      </c>
      <c r="B619" t="inlineStr">
        <is>
          <t>шестьсот семнадцать</t>
        </is>
      </c>
      <c r="C619" t="inlineStr">
        <is>
          <t>рублей</t>
        </is>
      </c>
      <c r="D619" t="inlineStr">
        <is>
          <t>шестьсот семнадцать</t>
        </is>
      </c>
      <c r="E619" t="inlineStr">
        <is>
          <t>тысяч</t>
        </is>
      </c>
      <c r="F619" t="inlineStr">
        <is>
          <t>копеек</t>
        </is>
      </c>
    </row>
    <row r="620">
      <c r="A620" t="n">
        <v>618</v>
      </c>
      <c r="B620" t="inlineStr">
        <is>
          <t>шестьсот восемнадцать</t>
        </is>
      </c>
      <c r="C620" t="inlineStr">
        <is>
          <t>рублей</t>
        </is>
      </c>
      <c r="D620" t="inlineStr">
        <is>
          <t>шестьсот восемнадцать</t>
        </is>
      </c>
      <c r="E620" t="inlineStr">
        <is>
          <t>тысяч</t>
        </is>
      </c>
      <c r="F620" t="inlineStr">
        <is>
          <t>копеек</t>
        </is>
      </c>
    </row>
    <row r="621">
      <c r="A621" t="n">
        <v>619</v>
      </c>
      <c r="B621" t="inlineStr">
        <is>
          <t>шестьсот девятнадцать</t>
        </is>
      </c>
      <c r="C621" t="inlineStr">
        <is>
          <t>рублей</t>
        </is>
      </c>
      <c r="D621" t="inlineStr">
        <is>
          <t>шестьсот девятнадцать</t>
        </is>
      </c>
      <c r="E621" t="inlineStr">
        <is>
          <t>тысяч</t>
        </is>
      </c>
      <c r="F621" t="inlineStr">
        <is>
          <t>копеек</t>
        </is>
      </c>
    </row>
    <row r="622">
      <c r="A622" t="n">
        <v>620</v>
      </c>
      <c r="B622" t="inlineStr">
        <is>
          <t>шестьсот двадцать</t>
        </is>
      </c>
      <c r="C622" t="inlineStr">
        <is>
          <t>рублей</t>
        </is>
      </c>
      <c r="D622" t="inlineStr">
        <is>
          <t>шестьсот двадцать</t>
        </is>
      </c>
      <c r="E622" t="inlineStr">
        <is>
          <t>тысяч</t>
        </is>
      </c>
      <c r="F622" t="inlineStr">
        <is>
          <t>копеек</t>
        </is>
      </c>
    </row>
    <row r="623">
      <c r="A623" t="n">
        <v>621</v>
      </c>
      <c r="B623" t="inlineStr">
        <is>
          <t>шестьсот двадцать один</t>
        </is>
      </c>
      <c r="C623" t="inlineStr">
        <is>
          <t>рубль</t>
        </is>
      </c>
      <c r="D623" t="inlineStr">
        <is>
          <t>шестьсот двадцать одна</t>
        </is>
      </c>
      <c r="E623" t="inlineStr">
        <is>
          <t>тысяча</t>
        </is>
      </c>
      <c r="F623" t="inlineStr">
        <is>
          <t>копейка</t>
        </is>
      </c>
    </row>
    <row r="624">
      <c r="A624" t="n">
        <v>622</v>
      </c>
      <c r="B624" t="inlineStr">
        <is>
          <t>шестьсот двадцать два</t>
        </is>
      </c>
      <c r="C624" t="inlineStr">
        <is>
          <t>рубля</t>
        </is>
      </c>
      <c r="D624" t="inlineStr">
        <is>
          <t>шестьсот двадцать две</t>
        </is>
      </c>
      <c r="E624" t="inlineStr">
        <is>
          <t>тысячи</t>
        </is>
      </c>
      <c r="F624" t="inlineStr">
        <is>
          <t>копейки</t>
        </is>
      </c>
    </row>
    <row r="625">
      <c r="A625" t="n">
        <v>623</v>
      </c>
      <c r="B625" t="inlineStr">
        <is>
          <t>шестьсот двадцать три</t>
        </is>
      </c>
      <c r="C625" t="inlineStr">
        <is>
          <t>рубля</t>
        </is>
      </c>
      <c r="D625" t="inlineStr">
        <is>
          <t>шестьсот двадцать три</t>
        </is>
      </c>
      <c r="E625" t="inlineStr">
        <is>
          <t>тысячи</t>
        </is>
      </c>
      <c r="F625" t="inlineStr">
        <is>
          <t>копейки</t>
        </is>
      </c>
    </row>
    <row r="626">
      <c r="A626" t="n">
        <v>624</v>
      </c>
      <c r="B626" t="inlineStr">
        <is>
          <t>шестьсот двадцать четыре</t>
        </is>
      </c>
      <c r="C626" t="inlineStr">
        <is>
          <t>рубля</t>
        </is>
      </c>
      <c r="D626" t="inlineStr">
        <is>
          <t>шестьсот двадцать четыре</t>
        </is>
      </c>
      <c r="E626" t="inlineStr">
        <is>
          <t>тысячи</t>
        </is>
      </c>
      <c r="F626" t="inlineStr">
        <is>
          <t>копейки</t>
        </is>
      </c>
    </row>
    <row r="627">
      <c r="A627" t="n">
        <v>625</v>
      </c>
      <c r="B627" t="inlineStr">
        <is>
          <t>шестьсот двадцать пять</t>
        </is>
      </c>
      <c r="C627" t="inlineStr">
        <is>
          <t>рублей</t>
        </is>
      </c>
      <c r="D627" t="inlineStr">
        <is>
          <t>шестьсот двадцать пять</t>
        </is>
      </c>
      <c r="E627" t="inlineStr">
        <is>
          <t>тысяч</t>
        </is>
      </c>
      <c r="F627" t="inlineStr">
        <is>
          <t>копеек</t>
        </is>
      </c>
    </row>
    <row r="628">
      <c r="A628" t="n">
        <v>626</v>
      </c>
      <c r="B628" t="inlineStr">
        <is>
          <t>шестьсот двадцать шесть</t>
        </is>
      </c>
      <c r="C628" t="inlineStr">
        <is>
          <t>рублей</t>
        </is>
      </c>
      <c r="D628" t="inlineStr">
        <is>
          <t>шестьсот двадцать шесть</t>
        </is>
      </c>
      <c r="E628" t="inlineStr">
        <is>
          <t>тысяч</t>
        </is>
      </c>
      <c r="F628" t="inlineStr">
        <is>
          <t>копеек</t>
        </is>
      </c>
    </row>
    <row r="629">
      <c r="A629" t="n">
        <v>627</v>
      </c>
      <c r="B629" t="inlineStr">
        <is>
          <t>шестьсот двадцать семь</t>
        </is>
      </c>
      <c r="C629" t="inlineStr">
        <is>
          <t>рублей</t>
        </is>
      </c>
      <c r="D629" t="inlineStr">
        <is>
          <t>шестьсот двадцать семь</t>
        </is>
      </c>
      <c r="E629" t="inlineStr">
        <is>
          <t>тысяч</t>
        </is>
      </c>
      <c r="F629" t="inlineStr">
        <is>
          <t>копеек</t>
        </is>
      </c>
    </row>
    <row r="630">
      <c r="A630" t="n">
        <v>628</v>
      </c>
      <c r="B630" t="inlineStr">
        <is>
          <t>шестьсот двадцать восемь</t>
        </is>
      </c>
      <c r="C630" t="inlineStr">
        <is>
          <t>рублей</t>
        </is>
      </c>
      <c r="D630" t="inlineStr">
        <is>
          <t>шестьсот двадцать восемь</t>
        </is>
      </c>
      <c r="E630" t="inlineStr">
        <is>
          <t>тысяч</t>
        </is>
      </c>
      <c r="F630" t="inlineStr">
        <is>
          <t>копеек</t>
        </is>
      </c>
    </row>
    <row r="631">
      <c r="A631" t="n">
        <v>629</v>
      </c>
      <c r="B631" t="inlineStr">
        <is>
          <t>шестьсот двадцать девять</t>
        </is>
      </c>
      <c r="C631" t="inlineStr">
        <is>
          <t>рублей</t>
        </is>
      </c>
      <c r="D631" t="inlineStr">
        <is>
          <t>шестьсот двадцать девять</t>
        </is>
      </c>
      <c r="E631" t="inlineStr">
        <is>
          <t>тысяч</t>
        </is>
      </c>
      <c r="F631" t="inlineStr">
        <is>
          <t>копеек</t>
        </is>
      </c>
    </row>
    <row r="632">
      <c r="A632" t="n">
        <v>630</v>
      </c>
      <c r="B632" t="inlineStr">
        <is>
          <t>шестьсот тридцать</t>
        </is>
      </c>
      <c r="C632" t="inlineStr">
        <is>
          <t>рублей</t>
        </is>
      </c>
      <c r="D632" t="inlineStr">
        <is>
          <t>шестьсот тридцать</t>
        </is>
      </c>
      <c r="E632" t="inlineStr">
        <is>
          <t>тысяч</t>
        </is>
      </c>
      <c r="F632" t="inlineStr">
        <is>
          <t>копеек</t>
        </is>
      </c>
    </row>
    <row r="633">
      <c r="A633" t="n">
        <v>631</v>
      </c>
      <c r="B633" t="inlineStr">
        <is>
          <t>шестьсот тридцать один</t>
        </is>
      </c>
      <c r="C633" t="inlineStr">
        <is>
          <t>рубль</t>
        </is>
      </c>
      <c r="D633" t="inlineStr">
        <is>
          <t>шестьсот тридцать одна</t>
        </is>
      </c>
      <c r="E633" t="inlineStr">
        <is>
          <t>тысяча</t>
        </is>
      </c>
      <c r="F633" t="inlineStr">
        <is>
          <t>копейка</t>
        </is>
      </c>
    </row>
    <row r="634">
      <c r="A634" t="n">
        <v>632</v>
      </c>
      <c r="B634" t="inlineStr">
        <is>
          <t>шестьсот тридцать два</t>
        </is>
      </c>
      <c r="C634" t="inlineStr">
        <is>
          <t>рубля</t>
        </is>
      </c>
      <c r="D634" t="inlineStr">
        <is>
          <t>шестьсот тридцать две</t>
        </is>
      </c>
      <c r="E634" t="inlineStr">
        <is>
          <t>тысячи</t>
        </is>
      </c>
      <c r="F634" t="inlineStr">
        <is>
          <t>копейки</t>
        </is>
      </c>
    </row>
    <row r="635">
      <c r="A635" t="n">
        <v>633</v>
      </c>
      <c r="B635" t="inlineStr">
        <is>
          <t>шестьсот тридцать три</t>
        </is>
      </c>
      <c r="C635" t="inlineStr">
        <is>
          <t>рубля</t>
        </is>
      </c>
      <c r="D635" t="inlineStr">
        <is>
          <t>шестьсот тридцать три</t>
        </is>
      </c>
      <c r="E635" t="inlineStr">
        <is>
          <t>тысячи</t>
        </is>
      </c>
      <c r="F635" t="inlineStr">
        <is>
          <t>копейки</t>
        </is>
      </c>
    </row>
    <row r="636">
      <c r="A636" t="n">
        <v>634</v>
      </c>
      <c r="B636" t="inlineStr">
        <is>
          <t>шестьсот тридцать четыре</t>
        </is>
      </c>
      <c r="C636" t="inlineStr">
        <is>
          <t>рубля</t>
        </is>
      </c>
      <c r="D636" t="inlineStr">
        <is>
          <t>шестьсот тридцать четыре</t>
        </is>
      </c>
      <c r="E636" t="inlineStr">
        <is>
          <t>тысячи</t>
        </is>
      </c>
      <c r="F636" t="inlineStr">
        <is>
          <t>копейки</t>
        </is>
      </c>
    </row>
    <row r="637">
      <c r="A637" t="n">
        <v>635</v>
      </c>
      <c r="B637" t="inlineStr">
        <is>
          <t>шестьсот тридцать пять</t>
        </is>
      </c>
      <c r="C637" t="inlineStr">
        <is>
          <t>рублей</t>
        </is>
      </c>
      <c r="D637" t="inlineStr">
        <is>
          <t>шестьсот тридцать пять</t>
        </is>
      </c>
      <c r="E637" t="inlineStr">
        <is>
          <t>тысяч</t>
        </is>
      </c>
      <c r="F637" t="inlineStr">
        <is>
          <t>копеек</t>
        </is>
      </c>
    </row>
    <row r="638">
      <c r="A638" t="n">
        <v>636</v>
      </c>
      <c r="B638" t="inlineStr">
        <is>
          <t>шестьсот тридцать шесть</t>
        </is>
      </c>
      <c r="C638" t="inlineStr">
        <is>
          <t>рублей</t>
        </is>
      </c>
      <c r="D638" t="inlineStr">
        <is>
          <t>шестьсот тридцать шесть</t>
        </is>
      </c>
      <c r="E638" t="inlineStr">
        <is>
          <t>тысяч</t>
        </is>
      </c>
      <c r="F638" t="inlineStr">
        <is>
          <t>копеек</t>
        </is>
      </c>
    </row>
    <row r="639">
      <c r="A639" t="n">
        <v>637</v>
      </c>
      <c r="B639" t="inlineStr">
        <is>
          <t>шестьсот тридцать семь</t>
        </is>
      </c>
      <c r="C639" t="inlineStr">
        <is>
          <t>рублей</t>
        </is>
      </c>
      <c r="D639" t="inlineStr">
        <is>
          <t>шестьсот тридцать семь</t>
        </is>
      </c>
      <c r="E639" t="inlineStr">
        <is>
          <t>тысяч</t>
        </is>
      </c>
      <c r="F639" t="inlineStr">
        <is>
          <t>копеек</t>
        </is>
      </c>
    </row>
    <row r="640">
      <c r="A640" t="n">
        <v>638</v>
      </c>
      <c r="B640" t="inlineStr">
        <is>
          <t>шестьсот тридцать восемь</t>
        </is>
      </c>
      <c r="C640" t="inlineStr">
        <is>
          <t>рублей</t>
        </is>
      </c>
      <c r="D640" t="inlineStr">
        <is>
          <t>шестьсот тридцать восемь</t>
        </is>
      </c>
      <c r="E640" t="inlineStr">
        <is>
          <t>тысяч</t>
        </is>
      </c>
      <c r="F640" t="inlineStr">
        <is>
          <t>копеек</t>
        </is>
      </c>
    </row>
    <row r="641">
      <c r="A641" t="n">
        <v>639</v>
      </c>
      <c r="B641" t="inlineStr">
        <is>
          <t>шестьсот тридцать девять</t>
        </is>
      </c>
      <c r="C641" t="inlineStr">
        <is>
          <t>рублей</t>
        </is>
      </c>
      <c r="D641" t="inlineStr">
        <is>
          <t>шестьсот тридцать девять</t>
        </is>
      </c>
      <c r="E641" t="inlineStr">
        <is>
          <t>тысяч</t>
        </is>
      </c>
      <c r="F641" t="inlineStr">
        <is>
          <t>копеек</t>
        </is>
      </c>
    </row>
    <row r="642">
      <c r="A642" t="n">
        <v>640</v>
      </c>
      <c r="B642" t="inlineStr">
        <is>
          <t>шестьсот сорок</t>
        </is>
      </c>
      <c r="C642" t="inlineStr">
        <is>
          <t>рублей</t>
        </is>
      </c>
      <c r="D642" t="inlineStr">
        <is>
          <t>шестьсот сорок</t>
        </is>
      </c>
      <c r="E642" t="inlineStr">
        <is>
          <t>тысяч</t>
        </is>
      </c>
      <c r="F642" t="inlineStr">
        <is>
          <t>копеек</t>
        </is>
      </c>
    </row>
    <row r="643">
      <c r="A643" t="n">
        <v>641</v>
      </c>
      <c r="B643" t="inlineStr">
        <is>
          <t>шестьсот сорок один</t>
        </is>
      </c>
      <c r="C643" t="inlineStr">
        <is>
          <t>рубль</t>
        </is>
      </c>
      <c r="D643" t="inlineStr">
        <is>
          <t>шестьсот сорок одна</t>
        </is>
      </c>
      <c r="E643" t="inlineStr">
        <is>
          <t>тысяча</t>
        </is>
      </c>
      <c r="F643" t="inlineStr">
        <is>
          <t>копейка</t>
        </is>
      </c>
    </row>
    <row r="644">
      <c r="A644" t="n">
        <v>642</v>
      </c>
      <c r="B644" t="inlineStr">
        <is>
          <t>шестьсот сорок два</t>
        </is>
      </c>
      <c r="C644" t="inlineStr">
        <is>
          <t>рубля</t>
        </is>
      </c>
      <c r="D644" t="inlineStr">
        <is>
          <t>шестьсот сорок две</t>
        </is>
      </c>
      <c r="E644" t="inlineStr">
        <is>
          <t>тысячи</t>
        </is>
      </c>
      <c r="F644" t="inlineStr">
        <is>
          <t>копейки</t>
        </is>
      </c>
    </row>
    <row r="645">
      <c r="A645" t="n">
        <v>643</v>
      </c>
      <c r="B645" t="inlineStr">
        <is>
          <t>шестьсот сорок три</t>
        </is>
      </c>
      <c r="C645" t="inlineStr">
        <is>
          <t>рубля</t>
        </is>
      </c>
      <c r="D645" t="inlineStr">
        <is>
          <t>шестьсот сорок три</t>
        </is>
      </c>
      <c r="E645" t="inlineStr">
        <is>
          <t>тысячи</t>
        </is>
      </c>
      <c r="F645" t="inlineStr">
        <is>
          <t>копейки</t>
        </is>
      </c>
    </row>
    <row r="646">
      <c r="A646" t="n">
        <v>644</v>
      </c>
      <c r="B646" t="inlineStr">
        <is>
          <t>шестьсот сорок четыре</t>
        </is>
      </c>
      <c r="C646" t="inlineStr">
        <is>
          <t>рубля</t>
        </is>
      </c>
      <c r="D646" t="inlineStr">
        <is>
          <t>шестьсот сорок четыре</t>
        </is>
      </c>
      <c r="E646" t="inlineStr">
        <is>
          <t>тысячи</t>
        </is>
      </c>
      <c r="F646" t="inlineStr">
        <is>
          <t>копейки</t>
        </is>
      </c>
    </row>
    <row r="647">
      <c r="A647" t="n">
        <v>645</v>
      </c>
      <c r="B647" t="inlineStr">
        <is>
          <t>шестьсот сорок пять</t>
        </is>
      </c>
      <c r="C647" t="inlineStr">
        <is>
          <t>рублей</t>
        </is>
      </c>
      <c r="D647" t="inlineStr">
        <is>
          <t>шестьсот сорок пять</t>
        </is>
      </c>
      <c r="E647" t="inlineStr">
        <is>
          <t>тысяч</t>
        </is>
      </c>
      <c r="F647" t="inlineStr">
        <is>
          <t>копеек</t>
        </is>
      </c>
    </row>
    <row r="648">
      <c r="A648" t="n">
        <v>646</v>
      </c>
      <c r="B648" t="inlineStr">
        <is>
          <t>шестьсот сорок шесть</t>
        </is>
      </c>
      <c r="C648" t="inlineStr">
        <is>
          <t>рублей</t>
        </is>
      </c>
      <c r="D648" t="inlineStr">
        <is>
          <t>шестьсот сорок шесть</t>
        </is>
      </c>
      <c r="E648" t="inlineStr">
        <is>
          <t>тысяч</t>
        </is>
      </c>
      <c r="F648" t="inlineStr">
        <is>
          <t>копеек</t>
        </is>
      </c>
    </row>
    <row r="649">
      <c r="A649" t="n">
        <v>647</v>
      </c>
      <c r="B649" t="inlineStr">
        <is>
          <t>шестьсот сорок семь</t>
        </is>
      </c>
      <c r="C649" t="inlineStr">
        <is>
          <t>рублей</t>
        </is>
      </c>
      <c r="D649" t="inlineStr">
        <is>
          <t>шестьсот сорок семь</t>
        </is>
      </c>
      <c r="E649" t="inlineStr">
        <is>
          <t>тысяч</t>
        </is>
      </c>
      <c r="F649" t="inlineStr">
        <is>
          <t>копеек</t>
        </is>
      </c>
    </row>
    <row r="650">
      <c r="A650" t="n">
        <v>648</v>
      </c>
      <c r="B650" t="inlineStr">
        <is>
          <t>шестьсот сорок восемь</t>
        </is>
      </c>
      <c r="C650" t="inlineStr">
        <is>
          <t>рублей</t>
        </is>
      </c>
      <c r="D650" t="inlineStr">
        <is>
          <t>шестьсот сорок восемь</t>
        </is>
      </c>
      <c r="E650" t="inlineStr">
        <is>
          <t>тысяч</t>
        </is>
      </c>
      <c r="F650" t="inlineStr">
        <is>
          <t>копеек</t>
        </is>
      </c>
    </row>
    <row r="651">
      <c r="A651" t="n">
        <v>649</v>
      </c>
      <c r="B651" t="inlineStr">
        <is>
          <t>шестьсот сорок девять</t>
        </is>
      </c>
      <c r="C651" t="inlineStr">
        <is>
          <t>рублей</t>
        </is>
      </c>
      <c r="D651" t="inlineStr">
        <is>
          <t>шестьсот сорок девять</t>
        </is>
      </c>
      <c r="E651" t="inlineStr">
        <is>
          <t>тысяч</t>
        </is>
      </c>
      <c r="F651" t="inlineStr">
        <is>
          <t>копеек</t>
        </is>
      </c>
    </row>
    <row r="652">
      <c r="A652" t="n">
        <v>650</v>
      </c>
      <c r="B652" t="inlineStr">
        <is>
          <t>шестьсот пятьдесят</t>
        </is>
      </c>
      <c r="C652" t="inlineStr">
        <is>
          <t>рублей</t>
        </is>
      </c>
      <c r="D652" t="inlineStr">
        <is>
          <t>шестьсот пятьдесят</t>
        </is>
      </c>
      <c r="E652" t="inlineStr">
        <is>
          <t>тысяч</t>
        </is>
      </c>
      <c r="F652" t="inlineStr">
        <is>
          <t>копеек</t>
        </is>
      </c>
    </row>
    <row r="653">
      <c r="A653" t="n">
        <v>651</v>
      </c>
      <c r="B653" t="inlineStr">
        <is>
          <t>шестьсот пятьдесят один</t>
        </is>
      </c>
      <c r="C653" t="inlineStr">
        <is>
          <t>рубль</t>
        </is>
      </c>
      <c r="D653" t="inlineStr">
        <is>
          <t>шестьсот пятьдесят одна</t>
        </is>
      </c>
      <c r="E653" t="inlineStr">
        <is>
          <t>тысяча</t>
        </is>
      </c>
      <c r="F653" t="inlineStr">
        <is>
          <t>копейка</t>
        </is>
      </c>
    </row>
    <row r="654">
      <c r="A654" t="n">
        <v>652</v>
      </c>
      <c r="B654" t="inlineStr">
        <is>
          <t>шестьсот пятьдесят два</t>
        </is>
      </c>
      <c r="C654" t="inlineStr">
        <is>
          <t>рубля</t>
        </is>
      </c>
      <c r="D654" t="inlineStr">
        <is>
          <t>шестьсот пятьдесят две</t>
        </is>
      </c>
      <c r="E654" t="inlineStr">
        <is>
          <t>тысячи</t>
        </is>
      </c>
      <c r="F654" t="inlineStr">
        <is>
          <t>копейки</t>
        </is>
      </c>
    </row>
    <row r="655">
      <c r="A655" t="n">
        <v>653</v>
      </c>
      <c r="B655" t="inlineStr">
        <is>
          <t>шестьсот пятьдесят три</t>
        </is>
      </c>
      <c r="C655" t="inlineStr">
        <is>
          <t>рубля</t>
        </is>
      </c>
      <c r="D655" t="inlineStr">
        <is>
          <t>шестьсот пятьдесят три</t>
        </is>
      </c>
      <c r="E655" t="inlineStr">
        <is>
          <t>тысячи</t>
        </is>
      </c>
      <c r="F655" t="inlineStr">
        <is>
          <t>копейки</t>
        </is>
      </c>
    </row>
    <row r="656">
      <c r="A656" t="n">
        <v>654</v>
      </c>
      <c r="B656" t="inlineStr">
        <is>
          <t>шестьсот пятьдесят четыре</t>
        </is>
      </c>
      <c r="C656" t="inlineStr">
        <is>
          <t>рубля</t>
        </is>
      </c>
      <c r="D656" t="inlineStr">
        <is>
          <t>шестьсот пятьдесят четыре</t>
        </is>
      </c>
      <c r="E656" t="inlineStr">
        <is>
          <t>тысячи</t>
        </is>
      </c>
      <c r="F656" t="inlineStr">
        <is>
          <t>копейки</t>
        </is>
      </c>
    </row>
    <row r="657">
      <c r="A657" t="n">
        <v>655</v>
      </c>
      <c r="B657" t="inlineStr">
        <is>
          <t>шестьсот пятьдесят пять</t>
        </is>
      </c>
      <c r="C657" t="inlineStr">
        <is>
          <t>рублей</t>
        </is>
      </c>
      <c r="D657" t="inlineStr">
        <is>
          <t>шестьсот пятьдесят пять</t>
        </is>
      </c>
      <c r="E657" t="inlineStr">
        <is>
          <t>тысяч</t>
        </is>
      </c>
      <c r="F657" t="inlineStr">
        <is>
          <t>копеек</t>
        </is>
      </c>
    </row>
    <row r="658">
      <c r="A658" t="n">
        <v>656</v>
      </c>
      <c r="B658" t="inlineStr">
        <is>
          <t>шестьсот пятьдесят шесть</t>
        </is>
      </c>
      <c r="C658" t="inlineStr">
        <is>
          <t>рублей</t>
        </is>
      </c>
      <c r="D658" t="inlineStr">
        <is>
          <t>шестьсот пятьдесят шесть</t>
        </is>
      </c>
      <c r="E658" t="inlineStr">
        <is>
          <t>тысяч</t>
        </is>
      </c>
      <c r="F658" t="inlineStr">
        <is>
          <t>копеек</t>
        </is>
      </c>
    </row>
    <row r="659">
      <c r="A659" t="n">
        <v>657</v>
      </c>
      <c r="B659" t="inlineStr">
        <is>
          <t>шестьсот пятьдесят семь</t>
        </is>
      </c>
      <c r="C659" t="inlineStr">
        <is>
          <t>рублей</t>
        </is>
      </c>
      <c r="D659" t="inlineStr">
        <is>
          <t>шестьсот пятьдесят семь</t>
        </is>
      </c>
      <c r="E659" t="inlineStr">
        <is>
          <t>тысяч</t>
        </is>
      </c>
      <c r="F659" t="inlineStr">
        <is>
          <t>копеек</t>
        </is>
      </c>
    </row>
    <row r="660">
      <c r="A660" t="n">
        <v>658</v>
      </c>
      <c r="B660" t="inlineStr">
        <is>
          <t>шестьсот пятьдесят восемь</t>
        </is>
      </c>
      <c r="C660" t="inlineStr">
        <is>
          <t>рублей</t>
        </is>
      </c>
      <c r="D660" t="inlineStr">
        <is>
          <t>шестьсот пятьдесят восемь</t>
        </is>
      </c>
      <c r="E660" t="inlineStr">
        <is>
          <t>тысяч</t>
        </is>
      </c>
      <c r="F660" t="inlineStr">
        <is>
          <t>копеек</t>
        </is>
      </c>
    </row>
    <row r="661">
      <c r="A661" t="n">
        <v>659</v>
      </c>
      <c r="B661" t="inlineStr">
        <is>
          <t>шестьсот пятьдесят девять</t>
        </is>
      </c>
      <c r="C661" t="inlineStr">
        <is>
          <t>рублей</t>
        </is>
      </c>
      <c r="D661" t="inlineStr">
        <is>
          <t>шестьсот пятьдесят девять</t>
        </is>
      </c>
      <c r="E661" t="inlineStr">
        <is>
          <t>тысяч</t>
        </is>
      </c>
      <c r="F661" t="inlineStr">
        <is>
          <t>копеек</t>
        </is>
      </c>
    </row>
    <row r="662">
      <c r="A662" t="n">
        <v>660</v>
      </c>
      <c r="B662" t="inlineStr">
        <is>
          <t>шестьсот шестьдесят</t>
        </is>
      </c>
      <c r="C662" t="inlineStr">
        <is>
          <t>рублей</t>
        </is>
      </c>
      <c r="D662" t="inlineStr">
        <is>
          <t>шестьсот шестьдесят</t>
        </is>
      </c>
      <c r="E662" t="inlineStr">
        <is>
          <t>тысяч</t>
        </is>
      </c>
      <c r="F662" t="inlineStr">
        <is>
          <t>копеек</t>
        </is>
      </c>
    </row>
    <row r="663">
      <c r="A663" t="n">
        <v>661</v>
      </c>
      <c r="B663" t="inlineStr">
        <is>
          <t>шестьсот шестьдесят один</t>
        </is>
      </c>
      <c r="C663" t="inlineStr">
        <is>
          <t>рубль</t>
        </is>
      </c>
      <c r="D663" t="inlineStr">
        <is>
          <t>шестьсот шестьдесят одна</t>
        </is>
      </c>
      <c r="E663" t="inlineStr">
        <is>
          <t>тысяча</t>
        </is>
      </c>
      <c r="F663" t="inlineStr">
        <is>
          <t>копейка</t>
        </is>
      </c>
    </row>
    <row r="664">
      <c r="A664" t="n">
        <v>662</v>
      </c>
      <c r="B664" t="inlineStr">
        <is>
          <t>шестьсот шестьдесят два</t>
        </is>
      </c>
      <c r="C664" t="inlineStr">
        <is>
          <t>рубля</t>
        </is>
      </c>
      <c r="D664" t="inlineStr">
        <is>
          <t>шестьсот шестьдесят две</t>
        </is>
      </c>
      <c r="E664" t="inlineStr">
        <is>
          <t>тысячи</t>
        </is>
      </c>
      <c r="F664" t="inlineStr">
        <is>
          <t>копейки</t>
        </is>
      </c>
    </row>
    <row r="665">
      <c r="A665" t="n">
        <v>663</v>
      </c>
      <c r="B665" t="inlineStr">
        <is>
          <t>шестьсот шестьдесят три</t>
        </is>
      </c>
      <c r="C665" t="inlineStr">
        <is>
          <t>рубля</t>
        </is>
      </c>
      <c r="D665" t="inlineStr">
        <is>
          <t>шестьсот шестьдесят три</t>
        </is>
      </c>
      <c r="E665" t="inlineStr">
        <is>
          <t>тысячи</t>
        </is>
      </c>
      <c r="F665" t="inlineStr">
        <is>
          <t>копейки</t>
        </is>
      </c>
    </row>
    <row r="666">
      <c r="A666" t="n">
        <v>664</v>
      </c>
      <c r="B666" t="inlineStr">
        <is>
          <t>шестьсот шестьдесят четыре</t>
        </is>
      </c>
      <c r="C666" t="inlineStr">
        <is>
          <t>рубля</t>
        </is>
      </c>
      <c r="D666" t="inlineStr">
        <is>
          <t>шестьсот шестьдесят четыре</t>
        </is>
      </c>
      <c r="E666" t="inlineStr">
        <is>
          <t>тысячи</t>
        </is>
      </c>
      <c r="F666" t="inlineStr">
        <is>
          <t>копейки</t>
        </is>
      </c>
    </row>
    <row r="667">
      <c r="A667" t="n">
        <v>665</v>
      </c>
      <c r="B667" t="inlineStr">
        <is>
          <t>шестьсот шестьдесят пять</t>
        </is>
      </c>
      <c r="C667" t="inlineStr">
        <is>
          <t>рублей</t>
        </is>
      </c>
      <c r="D667" t="inlineStr">
        <is>
          <t>шестьсот шестьдесят пять</t>
        </is>
      </c>
      <c r="E667" t="inlineStr">
        <is>
          <t>тысяч</t>
        </is>
      </c>
      <c r="F667" t="inlineStr">
        <is>
          <t>копеек</t>
        </is>
      </c>
    </row>
    <row r="668">
      <c r="A668" t="n">
        <v>666</v>
      </c>
      <c r="B668" t="inlineStr">
        <is>
          <t>шестьсот шестьдесят шесть</t>
        </is>
      </c>
      <c r="C668" t="inlineStr">
        <is>
          <t>рублей</t>
        </is>
      </c>
      <c r="D668" t="inlineStr">
        <is>
          <t>шестьсот шестьдесят шесть</t>
        </is>
      </c>
      <c r="E668" t="inlineStr">
        <is>
          <t>тысяч</t>
        </is>
      </c>
      <c r="F668" t="inlineStr">
        <is>
          <t>копеек</t>
        </is>
      </c>
    </row>
    <row r="669">
      <c r="A669" t="n">
        <v>667</v>
      </c>
      <c r="B669" t="inlineStr">
        <is>
          <t>шестьсот шестьдесят семь</t>
        </is>
      </c>
      <c r="C669" t="inlineStr">
        <is>
          <t>рублей</t>
        </is>
      </c>
      <c r="D669" t="inlineStr">
        <is>
          <t>шестьсот шестьдесят семь</t>
        </is>
      </c>
      <c r="E669" t="inlineStr">
        <is>
          <t>тысяч</t>
        </is>
      </c>
      <c r="F669" t="inlineStr">
        <is>
          <t>копеек</t>
        </is>
      </c>
    </row>
    <row r="670">
      <c r="A670" t="n">
        <v>668</v>
      </c>
      <c r="B670" t="inlineStr">
        <is>
          <t>шестьсот шестьдесят восемь</t>
        </is>
      </c>
      <c r="C670" t="inlineStr">
        <is>
          <t>рублей</t>
        </is>
      </c>
      <c r="D670" t="inlineStr">
        <is>
          <t>шестьсот шестьдесят восемь</t>
        </is>
      </c>
      <c r="E670" t="inlineStr">
        <is>
          <t>тысяч</t>
        </is>
      </c>
      <c r="F670" t="inlineStr">
        <is>
          <t>копеек</t>
        </is>
      </c>
    </row>
    <row r="671">
      <c r="A671" t="n">
        <v>669</v>
      </c>
      <c r="B671" t="inlineStr">
        <is>
          <t>шестьсот шестьдесят девять</t>
        </is>
      </c>
      <c r="C671" t="inlineStr">
        <is>
          <t>рублей</t>
        </is>
      </c>
      <c r="D671" t="inlineStr">
        <is>
          <t>шестьсот шестьдесят девять</t>
        </is>
      </c>
      <c r="E671" t="inlineStr">
        <is>
          <t>тысяч</t>
        </is>
      </c>
      <c r="F671" t="inlineStr">
        <is>
          <t>копеек</t>
        </is>
      </c>
    </row>
    <row r="672">
      <c r="A672" t="n">
        <v>670</v>
      </c>
      <c r="B672" t="inlineStr">
        <is>
          <t>шестьсот семьдесят</t>
        </is>
      </c>
      <c r="C672" t="inlineStr">
        <is>
          <t>рублей</t>
        </is>
      </c>
      <c r="D672" t="inlineStr">
        <is>
          <t>шестьсот семьдесят</t>
        </is>
      </c>
      <c r="E672" t="inlineStr">
        <is>
          <t>тысяч</t>
        </is>
      </c>
      <c r="F672" t="inlineStr">
        <is>
          <t>копеек</t>
        </is>
      </c>
    </row>
    <row r="673">
      <c r="A673" t="n">
        <v>671</v>
      </c>
      <c r="B673" t="inlineStr">
        <is>
          <t>шестьсот семьдесят один</t>
        </is>
      </c>
      <c r="C673" t="inlineStr">
        <is>
          <t>рубль</t>
        </is>
      </c>
      <c r="D673" t="inlineStr">
        <is>
          <t>шестьсот семьдесят одна</t>
        </is>
      </c>
      <c r="E673" t="inlineStr">
        <is>
          <t>тысяча</t>
        </is>
      </c>
      <c r="F673" t="inlineStr">
        <is>
          <t>копейка</t>
        </is>
      </c>
    </row>
    <row r="674">
      <c r="A674" t="n">
        <v>672</v>
      </c>
      <c r="B674" t="inlineStr">
        <is>
          <t>шестьсот семьдесят два</t>
        </is>
      </c>
      <c r="C674" t="inlineStr">
        <is>
          <t>рубля</t>
        </is>
      </c>
      <c r="D674" t="inlineStr">
        <is>
          <t>шестьсот семьдесят две</t>
        </is>
      </c>
      <c r="E674" t="inlineStr">
        <is>
          <t>тысячи</t>
        </is>
      </c>
      <c r="F674" t="inlineStr">
        <is>
          <t>копейки</t>
        </is>
      </c>
    </row>
    <row r="675">
      <c r="A675" t="n">
        <v>673</v>
      </c>
      <c r="B675" t="inlineStr">
        <is>
          <t>шестьсот семьдесят три</t>
        </is>
      </c>
      <c r="C675" t="inlineStr">
        <is>
          <t>рубля</t>
        </is>
      </c>
      <c r="D675" t="inlineStr">
        <is>
          <t>шестьсот семьдесят три</t>
        </is>
      </c>
      <c r="E675" t="inlineStr">
        <is>
          <t>тысячи</t>
        </is>
      </c>
      <c r="F675" t="inlineStr">
        <is>
          <t>копейки</t>
        </is>
      </c>
    </row>
    <row r="676">
      <c r="A676" t="n">
        <v>674</v>
      </c>
      <c r="B676" t="inlineStr">
        <is>
          <t>шестьсот семьдесят четыре</t>
        </is>
      </c>
      <c r="C676" t="inlineStr">
        <is>
          <t>рубля</t>
        </is>
      </c>
      <c r="D676" t="inlineStr">
        <is>
          <t>шестьсот семьдесят четыре</t>
        </is>
      </c>
      <c r="E676" t="inlineStr">
        <is>
          <t>тысячи</t>
        </is>
      </c>
      <c r="F676" t="inlineStr">
        <is>
          <t>копейки</t>
        </is>
      </c>
    </row>
    <row r="677">
      <c r="A677" t="n">
        <v>675</v>
      </c>
      <c r="B677" t="inlineStr">
        <is>
          <t>шестьсот семьдесят пять</t>
        </is>
      </c>
      <c r="C677" t="inlineStr">
        <is>
          <t>рублей</t>
        </is>
      </c>
      <c r="D677" t="inlineStr">
        <is>
          <t>шестьсот семьдесят пять</t>
        </is>
      </c>
      <c r="E677" t="inlineStr">
        <is>
          <t>тысяч</t>
        </is>
      </c>
      <c r="F677" t="inlineStr">
        <is>
          <t>копеек</t>
        </is>
      </c>
    </row>
    <row r="678">
      <c r="A678" t="n">
        <v>676</v>
      </c>
      <c r="B678" t="inlineStr">
        <is>
          <t>шестьсот семьдесят шесть</t>
        </is>
      </c>
      <c r="C678" t="inlineStr">
        <is>
          <t>рублей</t>
        </is>
      </c>
      <c r="D678" t="inlineStr">
        <is>
          <t>шестьсот семьдесят шесть</t>
        </is>
      </c>
      <c r="E678" t="inlineStr">
        <is>
          <t>тысяч</t>
        </is>
      </c>
      <c r="F678" t="inlineStr">
        <is>
          <t>копеек</t>
        </is>
      </c>
    </row>
    <row r="679">
      <c r="A679" t="n">
        <v>677</v>
      </c>
      <c r="B679" t="inlineStr">
        <is>
          <t>шестьсот семьдесят семь</t>
        </is>
      </c>
      <c r="C679" t="inlineStr">
        <is>
          <t>рублей</t>
        </is>
      </c>
      <c r="D679" t="inlineStr">
        <is>
          <t>шестьсот семьдесят семь</t>
        </is>
      </c>
      <c r="E679" t="inlineStr">
        <is>
          <t>тысяч</t>
        </is>
      </c>
      <c r="F679" t="inlineStr">
        <is>
          <t>копеек</t>
        </is>
      </c>
    </row>
    <row r="680">
      <c r="A680" t="n">
        <v>678</v>
      </c>
      <c r="B680" t="inlineStr">
        <is>
          <t>шестьсот семьдесят восемь</t>
        </is>
      </c>
      <c r="C680" t="inlineStr">
        <is>
          <t>рублей</t>
        </is>
      </c>
      <c r="D680" t="inlineStr">
        <is>
          <t>шестьсот семьдесят восемь</t>
        </is>
      </c>
      <c r="E680" t="inlineStr">
        <is>
          <t>тысяч</t>
        </is>
      </c>
      <c r="F680" t="inlineStr">
        <is>
          <t>копеек</t>
        </is>
      </c>
    </row>
    <row r="681">
      <c r="A681" t="n">
        <v>679</v>
      </c>
      <c r="B681" t="inlineStr">
        <is>
          <t>шестьсот семьдесят девять</t>
        </is>
      </c>
      <c r="C681" t="inlineStr">
        <is>
          <t>рублей</t>
        </is>
      </c>
      <c r="D681" t="inlineStr">
        <is>
          <t>шестьсот семьдесят девять</t>
        </is>
      </c>
      <c r="E681" t="inlineStr">
        <is>
          <t>тысяч</t>
        </is>
      </c>
      <c r="F681" t="inlineStr">
        <is>
          <t>копеек</t>
        </is>
      </c>
    </row>
    <row r="682">
      <c r="A682" t="n">
        <v>680</v>
      </c>
      <c r="B682" t="inlineStr">
        <is>
          <t>шестьсот восемьдесят</t>
        </is>
      </c>
      <c r="C682" t="inlineStr">
        <is>
          <t>рублей</t>
        </is>
      </c>
      <c r="D682" t="inlineStr">
        <is>
          <t>шестьсот восемьдесят</t>
        </is>
      </c>
      <c r="E682" t="inlineStr">
        <is>
          <t>тысяч</t>
        </is>
      </c>
      <c r="F682" t="inlineStr">
        <is>
          <t>копеек</t>
        </is>
      </c>
    </row>
    <row r="683">
      <c r="A683" t="n">
        <v>681</v>
      </c>
      <c r="B683" t="inlineStr">
        <is>
          <t>шестьсот восемьдесят один</t>
        </is>
      </c>
      <c r="C683" t="inlineStr">
        <is>
          <t>рубль</t>
        </is>
      </c>
      <c r="D683" t="inlineStr">
        <is>
          <t>шестьсот восемьдесят одна</t>
        </is>
      </c>
      <c r="E683" t="inlineStr">
        <is>
          <t>тысяча</t>
        </is>
      </c>
      <c r="F683" t="inlineStr">
        <is>
          <t>копейка</t>
        </is>
      </c>
    </row>
    <row r="684">
      <c r="A684" t="n">
        <v>682</v>
      </c>
      <c r="B684" t="inlineStr">
        <is>
          <t>шестьсот восемьдесят два</t>
        </is>
      </c>
      <c r="C684" t="inlineStr">
        <is>
          <t>рубля</t>
        </is>
      </c>
      <c r="D684" t="inlineStr">
        <is>
          <t>шестьсот восемьдесят две</t>
        </is>
      </c>
      <c r="E684" t="inlineStr">
        <is>
          <t>тысячи</t>
        </is>
      </c>
      <c r="F684" t="inlineStr">
        <is>
          <t>копейки</t>
        </is>
      </c>
    </row>
    <row r="685">
      <c r="A685" t="n">
        <v>683</v>
      </c>
      <c r="B685" t="inlineStr">
        <is>
          <t>шестьсот восемьдесят три</t>
        </is>
      </c>
      <c r="C685" t="inlineStr">
        <is>
          <t>рубля</t>
        </is>
      </c>
      <c r="D685" t="inlineStr">
        <is>
          <t>шестьсот восемьдесят три</t>
        </is>
      </c>
      <c r="E685" t="inlineStr">
        <is>
          <t>тысячи</t>
        </is>
      </c>
      <c r="F685" t="inlineStr">
        <is>
          <t>копейки</t>
        </is>
      </c>
    </row>
    <row r="686">
      <c r="A686" t="n">
        <v>684</v>
      </c>
      <c r="B686" t="inlineStr">
        <is>
          <t>шестьсот восемьдесят четыре</t>
        </is>
      </c>
      <c r="C686" t="inlineStr">
        <is>
          <t>рубля</t>
        </is>
      </c>
      <c r="D686" t="inlineStr">
        <is>
          <t>шестьсот восемьдесят четыре</t>
        </is>
      </c>
      <c r="E686" t="inlineStr">
        <is>
          <t>тысячи</t>
        </is>
      </c>
      <c r="F686" t="inlineStr">
        <is>
          <t>копейки</t>
        </is>
      </c>
    </row>
    <row r="687">
      <c r="A687" t="n">
        <v>685</v>
      </c>
      <c r="B687" t="inlineStr">
        <is>
          <t>шестьсот восемьдесят пять</t>
        </is>
      </c>
      <c r="C687" t="inlineStr">
        <is>
          <t>рублей</t>
        </is>
      </c>
      <c r="D687" t="inlineStr">
        <is>
          <t>шестьсот восемьдесят пять</t>
        </is>
      </c>
      <c r="E687" t="inlineStr">
        <is>
          <t>тысяч</t>
        </is>
      </c>
      <c r="F687" t="inlineStr">
        <is>
          <t>копеек</t>
        </is>
      </c>
    </row>
    <row r="688">
      <c r="A688" t="n">
        <v>686</v>
      </c>
      <c r="B688" t="inlineStr">
        <is>
          <t>шестьсот восемьдесят шесть</t>
        </is>
      </c>
      <c r="C688" t="inlineStr">
        <is>
          <t>рублей</t>
        </is>
      </c>
      <c r="D688" t="inlineStr">
        <is>
          <t>шестьсот восемьдесят шесть</t>
        </is>
      </c>
      <c r="E688" t="inlineStr">
        <is>
          <t>тысяч</t>
        </is>
      </c>
      <c r="F688" t="inlineStr">
        <is>
          <t>копеек</t>
        </is>
      </c>
    </row>
    <row r="689">
      <c r="A689" t="n">
        <v>687</v>
      </c>
      <c r="B689" t="inlineStr">
        <is>
          <t>шестьсот восемьдесят семь</t>
        </is>
      </c>
      <c r="C689" t="inlineStr">
        <is>
          <t>рублей</t>
        </is>
      </c>
      <c r="D689" t="inlineStr">
        <is>
          <t>шестьсот восемьдесят семь</t>
        </is>
      </c>
      <c r="E689" t="inlineStr">
        <is>
          <t>тысяч</t>
        </is>
      </c>
      <c r="F689" t="inlineStr">
        <is>
          <t>копеек</t>
        </is>
      </c>
    </row>
    <row r="690">
      <c r="A690" t="n">
        <v>688</v>
      </c>
      <c r="B690" t="inlineStr">
        <is>
          <t>шестьсот восемьдесят восемь</t>
        </is>
      </c>
      <c r="C690" t="inlineStr">
        <is>
          <t>рублей</t>
        </is>
      </c>
      <c r="D690" t="inlineStr">
        <is>
          <t>шестьсот восемьдесят восемь</t>
        </is>
      </c>
      <c r="E690" t="inlineStr">
        <is>
          <t>тысяч</t>
        </is>
      </c>
      <c r="F690" t="inlineStr">
        <is>
          <t>копеек</t>
        </is>
      </c>
    </row>
    <row r="691">
      <c r="A691" t="n">
        <v>689</v>
      </c>
      <c r="B691" t="inlineStr">
        <is>
          <t>шестьсот восемьдесят девять</t>
        </is>
      </c>
      <c r="C691" t="inlineStr">
        <is>
          <t>рублей</t>
        </is>
      </c>
      <c r="D691" t="inlineStr">
        <is>
          <t>шестьсот восемьдесят девять</t>
        </is>
      </c>
      <c r="E691" t="inlineStr">
        <is>
          <t>тысяч</t>
        </is>
      </c>
      <c r="F691" t="inlineStr">
        <is>
          <t>копеек</t>
        </is>
      </c>
    </row>
    <row r="692">
      <c r="A692" t="n">
        <v>690</v>
      </c>
      <c r="B692" t="inlineStr">
        <is>
          <t>шестьсот девяносто</t>
        </is>
      </c>
      <c r="C692" t="inlineStr">
        <is>
          <t>рублей</t>
        </is>
      </c>
      <c r="D692" t="inlineStr">
        <is>
          <t>шестьсот девяносто</t>
        </is>
      </c>
      <c r="E692" t="inlineStr">
        <is>
          <t>тысяч</t>
        </is>
      </c>
      <c r="F692" t="inlineStr">
        <is>
          <t>копеек</t>
        </is>
      </c>
    </row>
    <row r="693">
      <c r="A693" t="n">
        <v>691</v>
      </c>
      <c r="B693" t="inlineStr">
        <is>
          <t>шестьсот девяносто один</t>
        </is>
      </c>
      <c r="C693" t="inlineStr">
        <is>
          <t>рубль</t>
        </is>
      </c>
      <c r="D693" t="inlineStr">
        <is>
          <t>шестьсот девяносто одна</t>
        </is>
      </c>
      <c r="E693" t="inlineStr">
        <is>
          <t>тысяча</t>
        </is>
      </c>
      <c r="F693" t="inlineStr">
        <is>
          <t>копейка</t>
        </is>
      </c>
    </row>
    <row r="694">
      <c r="A694" t="n">
        <v>692</v>
      </c>
      <c r="B694" t="inlineStr">
        <is>
          <t>шестьсот девяносто два</t>
        </is>
      </c>
      <c r="C694" t="inlineStr">
        <is>
          <t>рубля</t>
        </is>
      </c>
      <c r="D694" t="inlineStr">
        <is>
          <t>шестьсот девяносто две</t>
        </is>
      </c>
      <c r="E694" t="inlineStr">
        <is>
          <t>тысячи</t>
        </is>
      </c>
      <c r="F694" t="inlineStr">
        <is>
          <t>копейки</t>
        </is>
      </c>
    </row>
    <row r="695">
      <c r="A695" t="n">
        <v>693</v>
      </c>
      <c r="B695" t="inlineStr">
        <is>
          <t>шестьсот девяносто три</t>
        </is>
      </c>
      <c r="C695" t="inlineStr">
        <is>
          <t>рубля</t>
        </is>
      </c>
      <c r="D695" t="inlineStr">
        <is>
          <t>шестьсот девяносто три</t>
        </is>
      </c>
      <c r="E695" t="inlineStr">
        <is>
          <t>тысячи</t>
        </is>
      </c>
      <c r="F695" t="inlineStr">
        <is>
          <t>копейки</t>
        </is>
      </c>
    </row>
    <row r="696">
      <c r="A696" t="n">
        <v>694</v>
      </c>
      <c r="B696" t="inlineStr">
        <is>
          <t>шестьсот девяносто четыре</t>
        </is>
      </c>
      <c r="C696" t="inlineStr">
        <is>
          <t>рубля</t>
        </is>
      </c>
      <c r="D696" t="inlineStr">
        <is>
          <t>шестьсот девяносто четыре</t>
        </is>
      </c>
      <c r="E696" t="inlineStr">
        <is>
          <t>тысячи</t>
        </is>
      </c>
      <c r="F696" t="inlineStr">
        <is>
          <t>копейки</t>
        </is>
      </c>
    </row>
    <row r="697">
      <c r="A697" t="n">
        <v>695</v>
      </c>
      <c r="B697" t="inlineStr">
        <is>
          <t>шестьсот девяносто пять</t>
        </is>
      </c>
      <c r="C697" t="inlineStr">
        <is>
          <t>рублей</t>
        </is>
      </c>
      <c r="D697" t="inlineStr">
        <is>
          <t>шестьсот девяносто пять</t>
        </is>
      </c>
      <c r="E697" t="inlineStr">
        <is>
          <t>тысяч</t>
        </is>
      </c>
      <c r="F697" t="inlineStr">
        <is>
          <t>копеек</t>
        </is>
      </c>
    </row>
    <row r="698">
      <c r="A698" t="n">
        <v>696</v>
      </c>
      <c r="B698" t="inlineStr">
        <is>
          <t>шестьсот девяносто шесть</t>
        </is>
      </c>
      <c r="C698" t="inlineStr">
        <is>
          <t>рублей</t>
        </is>
      </c>
      <c r="D698" t="inlineStr">
        <is>
          <t>шестьсот девяносто шесть</t>
        </is>
      </c>
      <c r="E698" t="inlineStr">
        <is>
          <t>тысяч</t>
        </is>
      </c>
      <c r="F698" t="inlineStr">
        <is>
          <t>копеек</t>
        </is>
      </c>
    </row>
    <row r="699">
      <c r="A699" t="n">
        <v>697</v>
      </c>
      <c r="B699" t="inlineStr">
        <is>
          <t>шестьсот девяносто семь</t>
        </is>
      </c>
      <c r="C699" t="inlineStr">
        <is>
          <t>рублей</t>
        </is>
      </c>
      <c r="D699" t="inlineStr">
        <is>
          <t>шестьсот девяносто семь</t>
        </is>
      </c>
      <c r="E699" t="inlineStr">
        <is>
          <t>тысяч</t>
        </is>
      </c>
      <c r="F699" t="inlineStr">
        <is>
          <t>копеек</t>
        </is>
      </c>
    </row>
    <row r="700">
      <c r="A700" t="n">
        <v>698</v>
      </c>
      <c r="B700" t="inlineStr">
        <is>
          <t>шестьсот девяносто восемь</t>
        </is>
      </c>
      <c r="C700" t="inlineStr">
        <is>
          <t>рублей</t>
        </is>
      </c>
      <c r="D700" t="inlineStr">
        <is>
          <t>шестьсот девяносто восемь</t>
        </is>
      </c>
      <c r="E700" t="inlineStr">
        <is>
          <t>тысяч</t>
        </is>
      </c>
      <c r="F700" t="inlineStr">
        <is>
          <t>копеек</t>
        </is>
      </c>
    </row>
    <row r="701">
      <c r="A701" t="n">
        <v>699</v>
      </c>
      <c r="B701" t="inlineStr">
        <is>
          <t>шестьсот девяносто девять</t>
        </is>
      </c>
      <c r="C701" t="inlineStr">
        <is>
          <t>рублей</t>
        </is>
      </c>
      <c r="D701" t="inlineStr">
        <is>
          <t>шестьсот девяносто девять</t>
        </is>
      </c>
      <c r="E701" t="inlineStr">
        <is>
          <t>тысяч</t>
        </is>
      </c>
      <c r="F701" t="inlineStr">
        <is>
          <t>копеек</t>
        </is>
      </c>
    </row>
    <row r="702">
      <c r="A702" t="n">
        <v>700</v>
      </c>
      <c r="B702" t="inlineStr">
        <is>
          <t>семьсот</t>
        </is>
      </c>
      <c r="C702" t="inlineStr">
        <is>
          <t>рублей</t>
        </is>
      </c>
      <c r="D702" t="inlineStr">
        <is>
          <t>семьсот</t>
        </is>
      </c>
      <c r="E702" t="inlineStr">
        <is>
          <t>тысяч</t>
        </is>
      </c>
      <c r="F702" t="inlineStr">
        <is>
          <t>копеек</t>
        </is>
      </c>
    </row>
    <row r="703">
      <c r="A703" t="n">
        <v>701</v>
      </c>
      <c r="B703" t="inlineStr">
        <is>
          <t>семьсот один</t>
        </is>
      </c>
      <c r="C703" t="inlineStr">
        <is>
          <t>рубль</t>
        </is>
      </c>
      <c r="D703" t="inlineStr">
        <is>
          <t>семьсот одна</t>
        </is>
      </c>
      <c r="E703" t="inlineStr">
        <is>
          <t>тысяча</t>
        </is>
      </c>
      <c r="F703" t="inlineStr">
        <is>
          <t>копейка</t>
        </is>
      </c>
    </row>
    <row r="704">
      <c r="A704" t="n">
        <v>702</v>
      </c>
      <c r="B704" t="inlineStr">
        <is>
          <t>семьсот два</t>
        </is>
      </c>
      <c r="C704" t="inlineStr">
        <is>
          <t>рубля</t>
        </is>
      </c>
      <c r="D704" t="inlineStr">
        <is>
          <t>семьсот две</t>
        </is>
      </c>
      <c r="E704" t="inlineStr">
        <is>
          <t>тысячи</t>
        </is>
      </c>
      <c r="F704" t="inlineStr">
        <is>
          <t>копейки</t>
        </is>
      </c>
    </row>
    <row r="705">
      <c r="A705" t="n">
        <v>703</v>
      </c>
      <c r="B705" t="inlineStr">
        <is>
          <t>семьсот три</t>
        </is>
      </c>
      <c r="C705" t="inlineStr">
        <is>
          <t>рубля</t>
        </is>
      </c>
      <c r="D705" t="inlineStr">
        <is>
          <t>семьсот три</t>
        </is>
      </c>
      <c r="E705" t="inlineStr">
        <is>
          <t>тысячи</t>
        </is>
      </c>
      <c r="F705" t="inlineStr">
        <is>
          <t>копейки</t>
        </is>
      </c>
    </row>
    <row r="706">
      <c r="A706" t="n">
        <v>704</v>
      </c>
      <c r="B706" t="inlineStr">
        <is>
          <t>семьсот четыре</t>
        </is>
      </c>
      <c r="C706" t="inlineStr">
        <is>
          <t>рубля</t>
        </is>
      </c>
      <c r="D706" t="inlineStr">
        <is>
          <t>семьсот четыре</t>
        </is>
      </c>
      <c r="E706" t="inlineStr">
        <is>
          <t>тысячи</t>
        </is>
      </c>
      <c r="F706" t="inlineStr">
        <is>
          <t>копейки</t>
        </is>
      </c>
    </row>
    <row r="707">
      <c r="A707" t="n">
        <v>705</v>
      </c>
      <c r="B707" t="inlineStr">
        <is>
          <t>семьсот пять</t>
        </is>
      </c>
      <c r="C707" t="inlineStr">
        <is>
          <t>рублей</t>
        </is>
      </c>
      <c r="D707" t="inlineStr">
        <is>
          <t>семьсот пять</t>
        </is>
      </c>
      <c r="E707" t="inlineStr">
        <is>
          <t>тысяч</t>
        </is>
      </c>
      <c r="F707" t="inlineStr">
        <is>
          <t>копеек</t>
        </is>
      </c>
    </row>
    <row r="708">
      <c r="A708" t="n">
        <v>706</v>
      </c>
      <c r="B708" t="inlineStr">
        <is>
          <t>семьсот шесть</t>
        </is>
      </c>
      <c r="C708" t="inlineStr">
        <is>
          <t>рублей</t>
        </is>
      </c>
      <c r="D708" t="inlineStr">
        <is>
          <t>семьсот шесть</t>
        </is>
      </c>
      <c r="E708" t="inlineStr">
        <is>
          <t>тысяч</t>
        </is>
      </c>
      <c r="F708" t="inlineStr">
        <is>
          <t>копеек</t>
        </is>
      </c>
    </row>
    <row r="709">
      <c r="A709" t="n">
        <v>707</v>
      </c>
      <c r="B709" t="inlineStr">
        <is>
          <t>семьсот семь</t>
        </is>
      </c>
      <c r="C709" t="inlineStr">
        <is>
          <t>рублей</t>
        </is>
      </c>
      <c r="D709" t="inlineStr">
        <is>
          <t>семьсот семь</t>
        </is>
      </c>
      <c r="E709" t="inlineStr">
        <is>
          <t>тысяч</t>
        </is>
      </c>
      <c r="F709" t="inlineStr">
        <is>
          <t>копеек</t>
        </is>
      </c>
    </row>
    <row r="710">
      <c r="A710" t="n">
        <v>708</v>
      </c>
      <c r="B710" t="inlineStr">
        <is>
          <t>семьсот восемь</t>
        </is>
      </c>
      <c r="C710" t="inlineStr">
        <is>
          <t>рублей</t>
        </is>
      </c>
      <c r="D710" t="inlineStr">
        <is>
          <t>семьсот восемь</t>
        </is>
      </c>
      <c r="E710" t="inlineStr">
        <is>
          <t>тысяч</t>
        </is>
      </c>
      <c r="F710" t="inlineStr">
        <is>
          <t>копеек</t>
        </is>
      </c>
    </row>
    <row r="711">
      <c r="A711" t="n">
        <v>709</v>
      </c>
      <c r="B711" t="inlineStr">
        <is>
          <t>семьсот девять</t>
        </is>
      </c>
      <c r="C711" t="inlineStr">
        <is>
          <t>рублей</t>
        </is>
      </c>
      <c r="D711" t="inlineStr">
        <is>
          <t>семьсот девять</t>
        </is>
      </c>
      <c r="E711" t="inlineStr">
        <is>
          <t>тысяч</t>
        </is>
      </c>
      <c r="F711" t="inlineStr">
        <is>
          <t>копеек</t>
        </is>
      </c>
    </row>
    <row r="712">
      <c r="A712" t="n">
        <v>710</v>
      </c>
      <c r="B712" t="inlineStr">
        <is>
          <t>семьсот десять</t>
        </is>
      </c>
      <c r="C712" t="inlineStr">
        <is>
          <t>рублей</t>
        </is>
      </c>
      <c r="D712" t="inlineStr">
        <is>
          <t>семьсот десять</t>
        </is>
      </c>
      <c r="E712" t="inlineStr">
        <is>
          <t>тысяч</t>
        </is>
      </c>
      <c r="F712" t="inlineStr">
        <is>
          <t>копеек</t>
        </is>
      </c>
    </row>
    <row r="713">
      <c r="A713" t="n">
        <v>711</v>
      </c>
      <c r="B713" t="inlineStr">
        <is>
          <t>семьсот одиннадцать</t>
        </is>
      </c>
      <c r="C713" t="inlineStr">
        <is>
          <t>рублей</t>
        </is>
      </c>
      <c r="D713" t="inlineStr">
        <is>
          <t>семьсот одиннадцать</t>
        </is>
      </c>
      <c r="E713" t="inlineStr">
        <is>
          <t>тысяч</t>
        </is>
      </c>
      <c r="F713" t="inlineStr">
        <is>
          <t>копеек</t>
        </is>
      </c>
    </row>
    <row r="714">
      <c r="A714" t="n">
        <v>712</v>
      </c>
      <c r="B714" t="inlineStr">
        <is>
          <t>семьсот двенадцать</t>
        </is>
      </c>
      <c r="C714" t="inlineStr">
        <is>
          <t>рублей</t>
        </is>
      </c>
      <c r="D714" t="inlineStr">
        <is>
          <t>семьсот двенадцать</t>
        </is>
      </c>
      <c r="E714" t="inlineStr">
        <is>
          <t>тысяч</t>
        </is>
      </c>
      <c r="F714" t="inlineStr">
        <is>
          <t>копеек</t>
        </is>
      </c>
    </row>
    <row r="715">
      <c r="A715" t="n">
        <v>713</v>
      </c>
      <c r="B715" t="inlineStr">
        <is>
          <t>семьсот тринадцать</t>
        </is>
      </c>
      <c r="C715" t="inlineStr">
        <is>
          <t>рублей</t>
        </is>
      </c>
      <c r="D715" t="inlineStr">
        <is>
          <t>семьсот тринадцать</t>
        </is>
      </c>
      <c r="E715" t="inlineStr">
        <is>
          <t>тысяч</t>
        </is>
      </c>
      <c r="F715" t="inlineStr">
        <is>
          <t>копеек</t>
        </is>
      </c>
    </row>
    <row r="716">
      <c r="A716" t="n">
        <v>714</v>
      </c>
      <c r="B716" t="inlineStr">
        <is>
          <t>семьсот четырнадцать</t>
        </is>
      </c>
      <c r="C716" t="inlineStr">
        <is>
          <t>рублей</t>
        </is>
      </c>
      <c r="D716" t="inlineStr">
        <is>
          <t>семьсот четырнадцать</t>
        </is>
      </c>
      <c r="E716" t="inlineStr">
        <is>
          <t>тысяч</t>
        </is>
      </c>
      <c r="F716" t="inlineStr">
        <is>
          <t>копеек</t>
        </is>
      </c>
    </row>
    <row r="717">
      <c r="A717" t="n">
        <v>715</v>
      </c>
      <c r="B717" t="inlineStr">
        <is>
          <t>семьсот пятнадцать</t>
        </is>
      </c>
      <c r="C717" t="inlineStr">
        <is>
          <t>рублей</t>
        </is>
      </c>
      <c r="D717" t="inlineStr">
        <is>
          <t>семьсот пятнадцать</t>
        </is>
      </c>
      <c r="E717" t="inlineStr">
        <is>
          <t>тысяч</t>
        </is>
      </c>
      <c r="F717" t="inlineStr">
        <is>
          <t>копеек</t>
        </is>
      </c>
    </row>
    <row r="718">
      <c r="A718" t="n">
        <v>716</v>
      </c>
      <c r="B718" t="inlineStr">
        <is>
          <t>семьсот шестнадцать</t>
        </is>
      </c>
      <c r="C718" t="inlineStr">
        <is>
          <t>рублей</t>
        </is>
      </c>
      <c r="D718" t="inlineStr">
        <is>
          <t>семьсот шестнадцать</t>
        </is>
      </c>
      <c r="E718" t="inlineStr">
        <is>
          <t>тысяч</t>
        </is>
      </c>
      <c r="F718" t="inlineStr">
        <is>
          <t>копеек</t>
        </is>
      </c>
    </row>
    <row r="719">
      <c r="A719" t="n">
        <v>717</v>
      </c>
      <c r="B719" t="inlineStr">
        <is>
          <t>семьсот семнадцать</t>
        </is>
      </c>
      <c r="C719" t="inlineStr">
        <is>
          <t>рублей</t>
        </is>
      </c>
      <c r="D719" t="inlineStr">
        <is>
          <t>семьсот семнадцать</t>
        </is>
      </c>
      <c r="E719" t="inlineStr">
        <is>
          <t>тысяч</t>
        </is>
      </c>
      <c r="F719" t="inlineStr">
        <is>
          <t>копеек</t>
        </is>
      </c>
    </row>
    <row r="720">
      <c r="A720" t="n">
        <v>718</v>
      </c>
      <c r="B720" t="inlineStr">
        <is>
          <t>семьсот восемнадцать</t>
        </is>
      </c>
      <c r="C720" t="inlineStr">
        <is>
          <t>рублей</t>
        </is>
      </c>
      <c r="D720" t="inlineStr">
        <is>
          <t>семьсот восемнадцать</t>
        </is>
      </c>
      <c r="E720" t="inlineStr">
        <is>
          <t>тысяч</t>
        </is>
      </c>
      <c r="F720" t="inlineStr">
        <is>
          <t>копеек</t>
        </is>
      </c>
    </row>
    <row r="721">
      <c r="A721" t="n">
        <v>719</v>
      </c>
      <c r="B721" t="inlineStr">
        <is>
          <t>семьсот девятнадцать</t>
        </is>
      </c>
      <c r="C721" t="inlineStr">
        <is>
          <t>рублей</t>
        </is>
      </c>
      <c r="D721" t="inlineStr">
        <is>
          <t>семьсот девятнадцать</t>
        </is>
      </c>
      <c r="E721" t="inlineStr">
        <is>
          <t>тысяч</t>
        </is>
      </c>
      <c r="F721" t="inlineStr">
        <is>
          <t>копеек</t>
        </is>
      </c>
    </row>
    <row r="722">
      <c r="A722" t="n">
        <v>720</v>
      </c>
      <c r="B722" t="inlineStr">
        <is>
          <t>семьсот двадцать</t>
        </is>
      </c>
      <c r="C722" t="inlineStr">
        <is>
          <t>рублей</t>
        </is>
      </c>
      <c r="D722" t="inlineStr">
        <is>
          <t>семьсот двадцать</t>
        </is>
      </c>
      <c r="E722" t="inlineStr">
        <is>
          <t>тысяч</t>
        </is>
      </c>
      <c r="F722" t="inlineStr">
        <is>
          <t>копеек</t>
        </is>
      </c>
    </row>
    <row r="723">
      <c r="A723" t="n">
        <v>721</v>
      </c>
      <c r="B723" t="inlineStr">
        <is>
          <t>семьсот двадцать один</t>
        </is>
      </c>
      <c r="C723" t="inlineStr">
        <is>
          <t>рубль</t>
        </is>
      </c>
      <c r="D723" t="inlineStr">
        <is>
          <t>семьсот двадцать одна</t>
        </is>
      </c>
      <c r="E723" t="inlineStr">
        <is>
          <t>тысяча</t>
        </is>
      </c>
      <c r="F723" t="inlineStr">
        <is>
          <t>копейка</t>
        </is>
      </c>
    </row>
    <row r="724">
      <c r="A724" t="n">
        <v>722</v>
      </c>
      <c r="B724" t="inlineStr">
        <is>
          <t>семьсот двадцать два</t>
        </is>
      </c>
      <c r="C724" t="inlineStr">
        <is>
          <t>рубля</t>
        </is>
      </c>
      <c r="D724" t="inlineStr">
        <is>
          <t>семьсот двадцать две</t>
        </is>
      </c>
      <c r="E724" t="inlineStr">
        <is>
          <t>тысячи</t>
        </is>
      </c>
      <c r="F724" t="inlineStr">
        <is>
          <t>копейки</t>
        </is>
      </c>
    </row>
    <row r="725">
      <c r="A725" t="n">
        <v>723</v>
      </c>
      <c r="B725" t="inlineStr">
        <is>
          <t>семьсот двадцать три</t>
        </is>
      </c>
      <c r="C725" t="inlineStr">
        <is>
          <t>рубля</t>
        </is>
      </c>
      <c r="D725" t="inlineStr">
        <is>
          <t>семьсот двадцать три</t>
        </is>
      </c>
      <c r="E725" t="inlineStr">
        <is>
          <t>тысячи</t>
        </is>
      </c>
      <c r="F725" t="inlineStr">
        <is>
          <t>копейки</t>
        </is>
      </c>
    </row>
    <row r="726">
      <c r="A726" t="n">
        <v>724</v>
      </c>
      <c r="B726" t="inlineStr">
        <is>
          <t>семьсот двадцать четыре</t>
        </is>
      </c>
      <c r="C726" t="inlineStr">
        <is>
          <t>рубля</t>
        </is>
      </c>
      <c r="D726" t="inlineStr">
        <is>
          <t>семьсот двадцать четыре</t>
        </is>
      </c>
      <c r="E726" t="inlineStr">
        <is>
          <t>тысячи</t>
        </is>
      </c>
      <c r="F726" t="inlineStr">
        <is>
          <t>копейки</t>
        </is>
      </c>
    </row>
    <row r="727">
      <c r="A727" t="n">
        <v>725</v>
      </c>
      <c r="B727" t="inlineStr">
        <is>
          <t>семьсот двадцать пять</t>
        </is>
      </c>
      <c r="C727" t="inlineStr">
        <is>
          <t>рублей</t>
        </is>
      </c>
      <c r="D727" t="inlineStr">
        <is>
          <t>семьсот двадцать пять</t>
        </is>
      </c>
      <c r="E727" t="inlineStr">
        <is>
          <t>тысяч</t>
        </is>
      </c>
      <c r="F727" t="inlineStr">
        <is>
          <t>копеек</t>
        </is>
      </c>
    </row>
    <row r="728">
      <c r="A728" t="n">
        <v>726</v>
      </c>
      <c r="B728" t="inlineStr">
        <is>
          <t>семьсот двадцать шесть</t>
        </is>
      </c>
      <c r="C728" t="inlineStr">
        <is>
          <t>рублей</t>
        </is>
      </c>
      <c r="D728" t="inlineStr">
        <is>
          <t>семьсот двадцать шесть</t>
        </is>
      </c>
      <c r="E728" t="inlineStr">
        <is>
          <t>тысяч</t>
        </is>
      </c>
      <c r="F728" t="inlineStr">
        <is>
          <t>копеек</t>
        </is>
      </c>
    </row>
    <row r="729">
      <c r="A729" t="n">
        <v>727</v>
      </c>
      <c r="B729" t="inlineStr">
        <is>
          <t>семьсот двадцать семь</t>
        </is>
      </c>
      <c r="C729" t="inlineStr">
        <is>
          <t>рублей</t>
        </is>
      </c>
      <c r="D729" t="inlineStr">
        <is>
          <t>семьсот двадцать семь</t>
        </is>
      </c>
      <c r="E729" t="inlineStr">
        <is>
          <t>тысяч</t>
        </is>
      </c>
      <c r="F729" t="inlineStr">
        <is>
          <t>копеек</t>
        </is>
      </c>
    </row>
    <row r="730">
      <c r="A730" t="n">
        <v>728</v>
      </c>
      <c r="B730" t="inlineStr">
        <is>
          <t>семьсот двадцать восемь</t>
        </is>
      </c>
      <c r="C730" t="inlineStr">
        <is>
          <t>рублей</t>
        </is>
      </c>
      <c r="D730" t="inlineStr">
        <is>
          <t>семьсот двадцать восемь</t>
        </is>
      </c>
      <c r="E730" t="inlineStr">
        <is>
          <t>тысяч</t>
        </is>
      </c>
      <c r="F730" t="inlineStr">
        <is>
          <t>копеек</t>
        </is>
      </c>
    </row>
    <row r="731">
      <c r="A731" t="n">
        <v>729</v>
      </c>
      <c r="B731" t="inlineStr">
        <is>
          <t>семьсот двадцать девять</t>
        </is>
      </c>
      <c r="C731" t="inlineStr">
        <is>
          <t>рублей</t>
        </is>
      </c>
      <c r="D731" t="inlineStr">
        <is>
          <t>семьсот двадцать девять</t>
        </is>
      </c>
      <c r="E731" t="inlineStr">
        <is>
          <t>тысяч</t>
        </is>
      </c>
      <c r="F731" t="inlineStr">
        <is>
          <t>копеек</t>
        </is>
      </c>
    </row>
    <row r="732">
      <c r="A732" t="n">
        <v>730</v>
      </c>
      <c r="B732" t="inlineStr">
        <is>
          <t>семьсот тридцать</t>
        </is>
      </c>
      <c r="C732" t="inlineStr">
        <is>
          <t>рублей</t>
        </is>
      </c>
      <c r="D732" t="inlineStr">
        <is>
          <t>семьсот тридцать</t>
        </is>
      </c>
      <c r="E732" t="inlineStr">
        <is>
          <t>тысяч</t>
        </is>
      </c>
      <c r="F732" t="inlineStr">
        <is>
          <t>копеек</t>
        </is>
      </c>
    </row>
    <row r="733">
      <c r="A733" t="n">
        <v>731</v>
      </c>
      <c r="B733" t="inlineStr">
        <is>
          <t>семьсот тридцать один</t>
        </is>
      </c>
      <c r="C733" t="inlineStr">
        <is>
          <t>рубль</t>
        </is>
      </c>
      <c r="D733" t="inlineStr">
        <is>
          <t>семьсот тридцать одна</t>
        </is>
      </c>
      <c r="E733" t="inlineStr">
        <is>
          <t>тысяча</t>
        </is>
      </c>
      <c r="F733" t="inlineStr">
        <is>
          <t>копейка</t>
        </is>
      </c>
    </row>
    <row r="734">
      <c r="A734" t="n">
        <v>732</v>
      </c>
      <c r="B734" t="inlineStr">
        <is>
          <t>семьсот тридцать два</t>
        </is>
      </c>
      <c r="C734" t="inlineStr">
        <is>
          <t>рубля</t>
        </is>
      </c>
      <c r="D734" t="inlineStr">
        <is>
          <t>семьсот тридцать две</t>
        </is>
      </c>
      <c r="E734" t="inlineStr">
        <is>
          <t>тысячи</t>
        </is>
      </c>
      <c r="F734" t="inlineStr">
        <is>
          <t>копейки</t>
        </is>
      </c>
    </row>
    <row r="735">
      <c r="A735" t="n">
        <v>733</v>
      </c>
      <c r="B735" t="inlineStr">
        <is>
          <t>семьсот тридцать три</t>
        </is>
      </c>
      <c r="C735" t="inlineStr">
        <is>
          <t>рубля</t>
        </is>
      </c>
      <c r="D735" t="inlineStr">
        <is>
          <t>семьсот тридцать три</t>
        </is>
      </c>
      <c r="E735" t="inlineStr">
        <is>
          <t>тысячи</t>
        </is>
      </c>
      <c r="F735" t="inlineStr">
        <is>
          <t>копейки</t>
        </is>
      </c>
    </row>
    <row r="736">
      <c r="A736" t="n">
        <v>734</v>
      </c>
      <c r="B736" t="inlineStr">
        <is>
          <t>семьсот тридцать четыре</t>
        </is>
      </c>
      <c r="C736" t="inlineStr">
        <is>
          <t>рубля</t>
        </is>
      </c>
      <c r="D736" t="inlineStr">
        <is>
          <t>семьсот тридцать четыре</t>
        </is>
      </c>
      <c r="E736" t="inlineStr">
        <is>
          <t>тысячи</t>
        </is>
      </c>
      <c r="F736" t="inlineStr">
        <is>
          <t>копейки</t>
        </is>
      </c>
    </row>
    <row r="737">
      <c r="A737" t="n">
        <v>735</v>
      </c>
      <c r="B737" t="inlineStr">
        <is>
          <t>семьсот тридцать пять</t>
        </is>
      </c>
      <c r="C737" t="inlineStr">
        <is>
          <t>рублей</t>
        </is>
      </c>
      <c r="D737" t="inlineStr">
        <is>
          <t>семьсот тридцать пять</t>
        </is>
      </c>
      <c r="E737" t="inlineStr">
        <is>
          <t>тысяч</t>
        </is>
      </c>
      <c r="F737" t="inlineStr">
        <is>
          <t>копеек</t>
        </is>
      </c>
    </row>
    <row r="738">
      <c r="A738" t="n">
        <v>736</v>
      </c>
      <c r="B738" t="inlineStr">
        <is>
          <t>семьсот тридцать шесть</t>
        </is>
      </c>
      <c r="C738" t="inlineStr">
        <is>
          <t>рублей</t>
        </is>
      </c>
      <c r="D738" t="inlineStr">
        <is>
          <t>семьсот тридцать шесть</t>
        </is>
      </c>
      <c r="E738" t="inlineStr">
        <is>
          <t>тысяч</t>
        </is>
      </c>
      <c r="F738" t="inlineStr">
        <is>
          <t>копеек</t>
        </is>
      </c>
    </row>
    <row r="739">
      <c r="A739" t="n">
        <v>737</v>
      </c>
      <c r="B739" t="inlineStr">
        <is>
          <t>семьсот тридцать семь</t>
        </is>
      </c>
      <c r="C739" t="inlineStr">
        <is>
          <t>рублей</t>
        </is>
      </c>
      <c r="D739" t="inlineStr">
        <is>
          <t>семьсот тридцать семь</t>
        </is>
      </c>
      <c r="E739" t="inlineStr">
        <is>
          <t>тысяч</t>
        </is>
      </c>
      <c r="F739" t="inlineStr">
        <is>
          <t>копеек</t>
        </is>
      </c>
    </row>
    <row r="740">
      <c r="A740" t="n">
        <v>738</v>
      </c>
      <c r="B740" t="inlineStr">
        <is>
          <t>семьсот тридцать восемь</t>
        </is>
      </c>
      <c r="C740" t="inlineStr">
        <is>
          <t>рублей</t>
        </is>
      </c>
      <c r="D740" t="inlineStr">
        <is>
          <t>семьсот тридцать восемь</t>
        </is>
      </c>
      <c r="E740" t="inlineStr">
        <is>
          <t>тысяч</t>
        </is>
      </c>
      <c r="F740" t="inlineStr">
        <is>
          <t>копеек</t>
        </is>
      </c>
    </row>
    <row r="741">
      <c r="A741" t="n">
        <v>739</v>
      </c>
      <c r="B741" t="inlineStr">
        <is>
          <t>семьсот тридцать девять</t>
        </is>
      </c>
      <c r="C741" t="inlineStr">
        <is>
          <t>рублей</t>
        </is>
      </c>
      <c r="D741" t="inlineStr">
        <is>
          <t>семьсот тридцать девять</t>
        </is>
      </c>
      <c r="E741" t="inlineStr">
        <is>
          <t>тысяч</t>
        </is>
      </c>
      <c r="F741" t="inlineStr">
        <is>
          <t>копеек</t>
        </is>
      </c>
    </row>
    <row r="742">
      <c r="A742" t="n">
        <v>740</v>
      </c>
      <c r="B742" t="inlineStr">
        <is>
          <t>семьсот сорок</t>
        </is>
      </c>
      <c r="C742" t="inlineStr">
        <is>
          <t>рублей</t>
        </is>
      </c>
      <c r="D742" t="inlineStr">
        <is>
          <t>семьсот сорок</t>
        </is>
      </c>
      <c r="E742" t="inlineStr">
        <is>
          <t>тысяч</t>
        </is>
      </c>
      <c r="F742" t="inlineStr">
        <is>
          <t>копеек</t>
        </is>
      </c>
    </row>
    <row r="743">
      <c r="A743" t="n">
        <v>741</v>
      </c>
      <c r="B743" t="inlineStr">
        <is>
          <t>семьсот сорок один</t>
        </is>
      </c>
      <c r="C743" t="inlineStr">
        <is>
          <t>рубль</t>
        </is>
      </c>
      <c r="D743" t="inlineStr">
        <is>
          <t>семьсот сорок одна</t>
        </is>
      </c>
      <c r="E743" t="inlineStr">
        <is>
          <t>тысяча</t>
        </is>
      </c>
      <c r="F743" t="inlineStr">
        <is>
          <t>копейка</t>
        </is>
      </c>
    </row>
    <row r="744">
      <c r="A744" t="n">
        <v>742</v>
      </c>
      <c r="B744" t="inlineStr">
        <is>
          <t>семьсот сорок два</t>
        </is>
      </c>
      <c r="C744" t="inlineStr">
        <is>
          <t>рубля</t>
        </is>
      </c>
      <c r="D744" t="inlineStr">
        <is>
          <t>семьсот сорок две</t>
        </is>
      </c>
      <c r="E744" t="inlineStr">
        <is>
          <t>тысячи</t>
        </is>
      </c>
      <c r="F744" t="inlineStr">
        <is>
          <t>копейки</t>
        </is>
      </c>
    </row>
    <row r="745">
      <c r="A745" t="n">
        <v>743</v>
      </c>
      <c r="B745" t="inlineStr">
        <is>
          <t>семьсот сорок три</t>
        </is>
      </c>
      <c r="C745" t="inlineStr">
        <is>
          <t>рубля</t>
        </is>
      </c>
      <c r="D745" t="inlineStr">
        <is>
          <t>семьсот сорок три</t>
        </is>
      </c>
      <c r="E745" t="inlineStr">
        <is>
          <t>тысячи</t>
        </is>
      </c>
      <c r="F745" t="inlineStr">
        <is>
          <t>копейки</t>
        </is>
      </c>
    </row>
    <row r="746">
      <c r="A746" t="n">
        <v>744</v>
      </c>
      <c r="B746" t="inlineStr">
        <is>
          <t>семьсот сорок четыре</t>
        </is>
      </c>
      <c r="C746" t="inlineStr">
        <is>
          <t>рубля</t>
        </is>
      </c>
      <c r="D746" t="inlineStr">
        <is>
          <t>семьсот сорок четыре</t>
        </is>
      </c>
      <c r="E746" t="inlineStr">
        <is>
          <t>тысячи</t>
        </is>
      </c>
      <c r="F746" t="inlineStr">
        <is>
          <t>копейки</t>
        </is>
      </c>
    </row>
    <row r="747">
      <c r="A747" t="n">
        <v>745</v>
      </c>
      <c r="B747" t="inlineStr">
        <is>
          <t>семьсот сорок пять</t>
        </is>
      </c>
      <c r="C747" t="inlineStr">
        <is>
          <t>рублей</t>
        </is>
      </c>
      <c r="D747" t="inlineStr">
        <is>
          <t>семьсот сорок пять</t>
        </is>
      </c>
      <c r="E747" t="inlineStr">
        <is>
          <t>тысяч</t>
        </is>
      </c>
      <c r="F747" t="inlineStr">
        <is>
          <t>копеек</t>
        </is>
      </c>
    </row>
    <row r="748">
      <c r="A748" t="n">
        <v>746</v>
      </c>
      <c r="B748" t="inlineStr">
        <is>
          <t>семьсот сорок шесть</t>
        </is>
      </c>
      <c r="C748" t="inlineStr">
        <is>
          <t>рублей</t>
        </is>
      </c>
      <c r="D748" t="inlineStr">
        <is>
          <t>семьсот сорок шесть</t>
        </is>
      </c>
      <c r="E748" t="inlineStr">
        <is>
          <t>тысяч</t>
        </is>
      </c>
      <c r="F748" t="inlineStr">
        <is>
          <t>копеек</t>
        </is>
      </c>
    </row>
    <row r="749">
      <c r="A749" t="n">
        <v>747</v>
      </c>
      <c r="B749" t="inlineStr">
        <is>
          <t>семьсот сорок семь</t>
        </is>
      </c>
      <c r="C749" t="inlineStr">
        <is>
          <t>рублей</t>
        </is>
      </c>
      <c r="D749" t="inlineStr">
        <is>
          <t>семьсот сорок семь</t>
        </is>
      </c>
      <c r="E749" t="inlineStr">
        <is>
          <t>тысяч</t>
        </is>
      </c>
      <c r="F749" t="inlineStr">
        <is>
          <t>копеек</t>
        </is>
      </c>
    </row>
    <row r="750">
      <c r="A750" t="n">
        <v>748</v>
      </c>
      <c r="B750" t="inlineStr">
        <is>
          <t>семьсот сорок восемь</t>
        </is>
      </c>
      <c r="C750" t="inlineStr">
        <is>
          <t>рублей</t>
        </is>
      </c>
      <c r="D750" t="inlineStr">
        <is>
          <t>семьсот сорок восемь</t>
        </is>
      </c>
      <c r="E750" t="inlineStr">
        <is>
          <t>тысяч</t>
        </is>
      </c>
      <c r="F750" t="inlineStr">
        <is>
          <t>копеек</t>
        </is>
      </c>
    </row>
    <row r="751">
      <c r="A751" t="n">
        <v>749</v>
      </c>
      <c r="B751" t="inlineStr">
        <is>
          <t>семьсот сорок девять</t>
        </is>
      </c>
      <c r="C751" t="inlineStr">
        <is>
          <t>рублей</t>
        </is>
      </c>
      <c r="D751" t="inlineStr">
        <is>
          <t>семьсот сорок девять</t>
        </is>
      </c>
      <c r="E751" t="inlineStr">
        <is>
          <t>тысяч</t>
        </is>
      </c>
      <c r="F751" t="inlineStr">
        <is>
          <t>копеек</t>
        </is>
      </c>
    </row>
    <row r="752">
      <c r="A752" t="n">
        <v>750</v>
      </c>
      <c r="B752" t="inlineStr">
        <is>
          <t>семьсот пятьдесят</t>
        </is>
      </c>
      <c r="C752" t="inlineStr">
        <is>
          <t>рублей</t>
        </is>
      </c>
      <c r="D752" t="inlineStr">
        <is>
          <t>семьсот пятьдесят</t>
        </is>
      </c>
      <c r="E752" t="inlineStr">
        <is>
          <t>тысяч</t>
        </is>
      </c>
      <c r="F752" t="inlineStr">
        <is>
          <t>копеек</t>
        </is>
      </c>
    </row>
    <row r="753">
      <c r="A753" t="n">
        <v>751</v>
      </c>
      <c r="B753" t="inlineStr">
        <is>
          <t>семьсот пятьдесят один</t>
        </is>
      </c>
      <c r="C753" t="inlineStr">
        <is>
          <t>рубль</t>
        </is>
      </c>
      <c r="D753" t="inlineStr">
        <is>
          <t>семьсот пятьдесят одна</t>
        </is>
      </c>
      <c r="E753" t="inlineStr">
        <is>
          <t>тысяча</t>
        </is>
      </c>
      <c r="F753" t="inlineStr">
        <is>
          <t>копейка</t>
        </is>
      </c>
    </row>
    <row r="754">
      <c r="A754" t="n">
        <v>752</v>
      </c>
      <c r="B754" t="inlineStr">
        <is>
          <t>семьсот пятьдесят два</t>
        </is>
      </c>
      <c r="C754" t="inlineStr">
        <is>
          <t>рубля</t>
        </is>
      </c>
      <c r="D754" t="inlineStr">
        <is>
          <t>семьсот пятьдесят две</t>
        </is>
      </c>
      <c r="E754" t="inlineStr">
        <is>
          <t>тысячи</t>
        </is>
      </c>
      <c r="F754" t="inlineStr">
        <is>
          <t>копейки</t>
        </is>
      </c>
    </row>
    <row r="755">
      <c r="A755" t="n">
        <v>753</v>
      </c>
      <c r="B755" t="inlineStr">
        <is>
          <t>семьсот пятьдесят три</t>
        </is>
      </c>
      <c r="C755" t="inlineStr">
        <is>
          <t>рубля</t>
        </is>
      </c>
      <c r="D755" t="inlineStr">
        <is>
          <t>семьсот пятьдесят три</t>
        </is>
      </c>
      <c r="E755" t="inlineStr">
        <is>
          <t>тысячи</t>
        </is>
      </c>
      <c r="F755" t="inlineStr">
        <is>
          <t>копейки</t>
        </is>
      </c>
    </row>
    <row r="756">
      <c r="A756" t="n">
        <v>754</v>
      </c>
      <c r="B756" t="inlineStr">
        <is>
          <t>семьсот пятьдесят четыре</t>
        </is>
      </c>
      <c r="C756" t="inlineStr">
        <is>
          <t>рубля</t>
        </is>
      </c>
      <c r="D756" t="inlineStr">
        <is>
          <t>семьсот пятьдесят четыре</t>
        </is>
      </c>
      <c r="E756" t="inlineStr">
        <is>
          <t>тысячи</t>
        </is>
      </c>
      <c r="F756" t="inlineStr">
        <is>
          <t>копейки</t>
        </is>
      </c>
    </row>
    <row r="757">
      <c r="A757" t="n">
        <v>755</v>
      </c>
      <c r="B757" t="inlineStr">
        <is>
          <t>семьсот пятьдесят пять</t>
        </is>
      </c>
      <c r="C757" t="inlineStr">
        <is>
          <t>рублей</t>
        </is>
      </c>
      <c r="D757" t="inlineStr">
        <is>
          <t>семьсот пятьдесят пять</t>
        </is>
      </c>
      <c r="E757" t="inlineStr">
        <is>
          <t>тысяч</t>
        </is>
      </c>
      <c r="F757" t="inlineStr">
        <is>
          <t>копеек</t>
        </is>
      </c>
    </row>
    <row r="758">
      <c r="A758" t="n">
        <v>756</v>
      </c>
      <c r="B758" t="inlineStr">
        <is>
          <t>семьсот пятьдесят шесть</t>
        </is>
      </c>
      <c r="C758" t="inlineStr">
        <is>
          <t>рублей</t>
        </is>
      </c>
      <c r="D758" t="inlineStr">
        <is>
          <t>семьсот пятьдесят шесть</t>
        </is>
      </c>
      <c r="E758" t="inlineStr">
        <is>
          <t>тысяч</t>
        </is>
      </c>
      <c r="F758" t="inlineStr">
        <is>
          <t>копеек</t>
        </is>
      </c>
    </row>
    <row r="759">
      <c r="A759" t="n">
        <v>757</v>
      </c>
      <c r="B759" t="inlineStr">
        <is>
          <t>семьсот пятьдесят семь</t>
        </is>
      </c>
      <c r="C759" t="inlineStr">
        <is>
          <t>рублей</t>
        </is>
      </c>
      <c r="D759" t="inlineStr">
        <is>
          <t>семьсот пятьдесят семь</t>
        </is>
      </c>
      <c r="E759" t="inlineStr">
        <is>
          <t>тысяч</t>
        </is>
      </c>
      <c r="F759" t="inlineStr">
        <is>
          <t>копеек</t>
        </is>
      </c>
    </row>
    <row r="760">
      <c r="A760" t="n">
        <v>758</v>
      </c>
      <c r="B760" t="inlineStr">
        <is>
          <t>семьсот пятьдесят восемь</t>
        </is>
      </c>
      <c r="C760" t="inlineStr">
        <is>
          <t>рублей</t>
        </is>
      </c>
      <c r="D760" t="inlineStr">
        <is>
          <t>семьсот пятьдесят восемь</t>
        </is>
      </c>
      <c r="E760" t="inlineStr">
        <is>
          <t>тысяч</t>
        </is>
      </c>
      <c r="F760" t="inlineStr">
        <is>
          <t>копеек</t>
        </is>
      </c>
    </row>
    <row r="761">
      <c r="A761" t="n">
        <v>759</v>
      </c>
      <c r="B761" t="inlineStr">
        <is>
          <t>семьсот пятьдесят девять</t>
        </is>
      </c>
      <c r="C761" t="inlineStr">
        <is>
          <t>рублей</t>
        </is>
      </c>
      <c r="D761" t="inlineStr">
        <is>
          <t>семьсот пятьдесят девять</t>
        </is>
      </c>
      <c r="E761" t="inlineStr">
        <is>
          <t>тысяч</t>
        </is>
      </c>
      <c r="F761" t="inlineStr">
        <is>
          <t>копеек</t>
        </is>
      </c>
    </row>
    <row r="762">
      <c r="A762" t="n">
        <v>760</v>
      </c>
      <c r="B762" t="inlineStr">
        <is>
          <t>семьсот шестьдесят</t>
        </is>
      </c>
      <c r="C762" t="inlineStr">
        <is>
          <t>рублей</t>
        </is>
      </c>
      <c r="D762" t="inlineStr">
        <is>
          <t>семьсот шестьдесят</t>
        </is>
      </c>
      <c r="E762" t="inlineStr">
        <is>
          <t>тысяч</t>
        </is>
      </c>
      <c r="F762" t="inlineStr">
        <is>
          <t>копеек</t>
        </is>
      </c>
    </row>
    <row r="763">
      <c r="A763" t="n">
        <v>761</v>
      </c>
      <c r="B763" t="inlineStr">
        <is>
          <t>семьсот шестьдесят один</t>
        </is>
      </c>
      <c r="C763" t="inlineStr">
        <is>
          <t>рубль</t>
        </is>
      </c>
      <c r="D763" t="inlineStr">
        <is>
          <t>семьсот шестьдесят одна</t>
        </is>
      </c>
      <c r="E763" t="inlineStr">
        <is>
          <t>тысяча</t>
        </is>
      </c>
      <c r="F763" t="inlineStr">
        <is>
          <t>копейка</t>
        </is>
      </c>
    </row>
    <row r="764">
      <c r="A764" t="n">
        <v>762</v>
      </c>
      <c r="B764" t="inlineStr">
        <is>
          <t>семьсот шестьдесят два</t>
        </is>
      </c>
      <c r="C764" t="inlineStr">
        <is>
          <t>рубля</t>
        </is>
      </c>
      <c r="D764" t="inlineStr">
        <is>
          <t>семьсот шестьдесят две</t>
        </is>
      </c>
      <c r="E764" t="inlineStr">
        <is>
          <t>тысячи</t>
        </is>
      </c>
      <c r="F764" t="inlineStr">
        <is>
          <t>копейки</t>
        </is>
      </c>
    </row>
    <row r="765">
      <c r="A765" t="n">
        <v>763</v>
      </c>
      <c r="B765" t="inlineStr">
        <is>
          <t>семьсот шестьдесят три</t>
        </is>
      </c>
      <c r="C765" t="inlineStr">
        <is>
          <t>рубля</t>
        </is>
      </c>
      <c r="D765" t="inlineStr">
        <is>
          <t>семьсот шестьдесят три</t>
        </is>
      </c>
      <c r="E765" t="inlineStr">
        <is>
          <t>тысячи</t>
        </is>
      </c>
      <c r="F765" t="inlineStr">
        <is>
          <t>копейки</t>
        </is>
      </c>
    </row>
    <row r="766">
      <c r="A766" t="n">
        <v>764</v>
      </c>
      <c r="B766" t="inlineStr">
        <is>
          <t>семьсот шестьдесят четыре</t>
        </is>
      </c>
      <c r="C766" t="inlineStr">
        <is>
          <t>рубля</t>
        </is>
      </c>
      <c r="D766" t="inlineStr">
        <is>
          <t>семьсот шестьдесят четыре</t>
        </is>
      </c>
      <c r="E766" t="inlineStr">
        <is>
          <t>тысячи</t>
        </is>
      </c>
      <c r="F766" t="inlineStr">
        <is>
          <t>копейки</t>
        </is>
      </c>
    </row>
    <row r="767">
      <c r="A767" t="n">
        <v>765</v>
      </c>
      <c r="B767" t="inlineStr">
        <is>
          <t>семьсот шестьдесят пять</t>
        </is>
      </c>
      <c r="C767" t="inlineStr">
        <is>
          <t>рублей</t>
        </is>
      </c>
      <c r="D767" t="inlineStr">
        <is>
          <t>семьсот шестьдесят пять</t>
        </is>
      </c>
      <c r="E767" t="inlineStr">
        <is>
          <t>тысяч</t>
        </is>
      </c>
      <c r="F767" t="inlineStr">
        <is>
          <t>копеек</t>
        </is>
      </c>
    </row>
    <row r="768">
      <c r="A768" t="n">
        <v>766</v>
      </c>
      <c r="B768" t="inlineStr">
        <is>
          <t>семьсот шестьдесят шесть</t>
        </is>
      </c>
      <c r="C768" t="inlineStr">
        <is>
          <t>рублей</t>
        </is>
      </c>
      <c r="D768" t="inlineStr">
        <is>
          <t>семьсот шестьдесят шесть</t>
        </is>
      </c>
      <c r="E768" t="inlineStr">
        <is>
          <t>тысяч</t>
        </is>
      </c>
      <c r="F768" t="inlineStr">
        <is>
          <t>копеек</t>
        </is>
      </c>
    </row>
    <row r="769">
      <c r="A769" t="n">
        <v>767</v>
      </c>
      <c r="B769" t="inlineStr">
        <is>
          <t>семьсот шестьдесят семь</t>
        </is>
      </c>
      <c r="C769" t="inlineStr">
        <is>
          <t>рублей</t>
        </is>
      </c>
      <c r="D769" t="inlineStr">
        <is>
          <t>семьсот шестьдесят семь</t>
        </is>
      </c>
      <c r="E769" t="inlineStr">
        <is>
          <t>тысяч</t>
        </is>
      </c>
      <c r="F769" t="inlineStr">
        <is>
          <t>копеек</t>
        </is>
      </c>
    </row>
    <row r="770">
      <c r="A770" t="n">
        <v>768</v>
      </c>
      <c r="B770" t="inlineStr">
        <is>
          <t>семьсот шестьдесят восемь</t>
        </is>
      </c>
      <c r="C770" t="inlineStr">
        <is>
          <t>рублей</t>
        </is>
      </c>
      <c r="D770" t="inlineStr">
        <is>
          <t>семьсот шестьдесят восемь</t>
        </is>
      </c>
      <c r="E770" t="inlineStr">
        <is>
          <t>тысяч</t>
        </is>
      </c>
      <c r="F770" t="inlineStr">
        <is>
          <t>копеек</t>
        </is>
      </c>
    </row>
    <row r="771">
      <c r="A771" t="n">
        <v>769</v>
      </c>
      <c r="B771" t="inlineStr">
        <is>
          <t>семьсот шестьдесят девять</t>
        </is>
      </c>
      <c r="C771" t="inlineStr">
        <is>
          <t>рублей</t>
        </is>
      </c>
      <c r="D771" t="inlineStr">
        <is>
          <t>семьсот шестьдесят девять</t>
        </is>
      </c>
      <c r="E771" t="inlineStr">
        <is>
          <t>тысяч</t>
        </is>
      </c>
      <c r="F771" t="inlineStr">
        <is>
          <t>копеек</t>
        </is>
      </c>
    </row>
    <row r="772">
      <c r="A772" t="n">
        <v>770</v>
      </c>
      <c r="B772" t="inlineStr">
        <is>
          <t>семьсот семьдесят</t>
        </is>
      </c>
      <c r="C772" t="inlineStr">
        <is>
          <t>рублей</t>
        </is>
      </c>
      <c r="D772" t="inlineStr">
        <is>
          <t>семьсот семьдесят</t>
        </is>
      </c>
      <c r="E772" t="inlineStr">
        <is>
          <t>тысяч</t>
        </is>
      </c>
      <c r="F772" t="inlineStr">
        <is>
          <t>копеек</t>
        </is>
      </c>
    </row>
    <row r="773">
      <c r="A773" t="n">
        <v>771</v>
      </c>
      <c r="B773" t="inlineStr">
        <is>
          <t>семьсот семьдесят один</t>
        </is>
      </c>
      <c r="C773" t="inlineStr">
        <is>
          <t>рубль</t>
        </is>
      </c>
      <c r="D773" t="inlineStr">
        <is>
          <t>семьсот семьдесят одна</t>
        </is>
      </c>
      <c r="E773" t="inlineStr">
        <is>
          <t>тысяча</t>
        </is>
      </c>
      <c r="F773" t="inlineStr">
        <is>
          <t>копейка</t>
        </is>
      </c>
    </row>
    <row r="774">
      <c r="A774" t="n">
        <v>772</v>
      </c>
      <c r="B774" t="inlineStr">
        <is>
          <t>семьсот семьдесят два</t>
        </is>
      </c>
      <c r="C774" t="inlineStr">
        <is>
          <t>рубля</t>
        </is>
      </c>
      <c r="D774" t="inlineStr">
        <is>
          <t>семьсот семьдесят две</t>
        </is>
      </c>
      <c r="E774" t="inlineStr">
        <is>
          <t>тысячи</t>
        </is>
      </c>
      <c r="F774" t="inlineStr">
        <is>
          <t>копейки</t>
        </is>
      </c>
    </row>
    <row r="775">
      <c r="A775" t="n">
        <v>773</v>
      </c>
      <c r="B775" t="inlineStr">
        <is>
          <t>семьсот семьдесят три</t>
        </is>
      </c>
      <c r="C775" t="inlineStr">
        <is>
          <t>рубля</t>
        </is>
      </c>
      <c r="D775" t="inlineStr">
        <is>
          <t>семьсот семьдесят три</t>
        </is>
      </c>
      <c r="E775" t="inlineStr">
        <is>
          <t>тысячи</t>
        </is>
      </c>
      <c r="F775" t="inlineStr">
        <is>
          <t>копейки</t>
        </is>
      </c>
    </row>
    <row r="776">
      <c r="A776" t="n">
        <v>774</v>
      </c>
      <c r="B776" t="inlineStr">
        <is>
          <t>семьсот семьдесят четыре</t>
        </is>
      </c>
      <c r="C776" t="inlineStr">
        <is>
          <t>рубля</t>
        </is>
      </c>
      <c r="D776" t="inlineStr">
        <is>
          <t>семьсот семьдесят четыре</t>
        </is>
      </c>
      <c r="E776" t="inlineStr">
        <is>
          <t>тысячи</t>
        </is>
      </c>
      <c r="F776" t="inlineStr">
        <is>
          <t>копейки</t>
        </is>
      </c>
    </row>
    <row r="777">
      <c r="A777" t="n">
        <v>775</v>
      </c>
      <c r="B777" t="inlineStr">
        <is>
          <t>семьсот семьдесят пять</t>
        </is>
      </c>
      <c r="C777" t="inlineStr">
        <is>
          <t>рублей</t>
        </is>
      </c>
      <c r="D777" t="inlineStr">
        <is>
          <t>семьсот семьдесят пять</t>
        </is>
      </c>
      <c r="E777" t="inlineStr">
        <is>
          <t>тысяч</t>
        </is>
      </c>
      <c r="F777" t="inlineStr">
        <is>
          <t>копеек</t>
        </is>
      </c>
    </row>
    <row r="778">
      <c r="A778" t="n">
        <v>776</v>
      </c>
      <c r="B778" t="inlineStr">
        <is>
          <t>семьсот семьдесят шесть</t>
        </is>
      </c>
      <c r="C778" t="inlineStr">
        <is>
          <t>рублей</t>
        </is>
      </c>
      <c r="D778" t="inlineStr">
        <is>
          <t>семьсот семьдесят шесть</t>
        </is>
      </c>
      <c r="E778" t="inlineStr">
        <is>
          <t>тысяч</t>
        </is>
      </c>
      <c r="F778" t="inlineStr">
        <is>
          <t>копеек</t>
        </is>
      </c>
    </row>
    <row r="779">
      <c r="A779" t="n">
        <v>777</v>
      </c>
      <c r="B779" t="inlineStr">
        <is>
          <t>семьсот семьдесят семь</t>
        </is>
      </c>
      <c r="C779" t="inlineStr">
        <is>
          <t>рублей</t>
        </is>
      </c>
      <c r="D779" t="inlineStr">
        <is>
          <t>семьсот семьдесят семь</t>
        </is>
      </c>
      <c r="E779" t="inlineStr">
        <is>
          <t>тысяч</t>
        </is>
      </c>
      <c r="F779" t="inlineStr">
        <is>
          <t>копеек</t>
        </is>
      </c>
    </row>
    <row r="780">
      <c r="A780" t="n">
        <v>778</v>
      </c>
      <c r="B780" t="inlineStr">
        <is>
          <t>семьсот семьдесят восемь</t>
        </is>
      </c>
      <c r="C780" t="inlineStr">
        <is>
          <t>рублей</t>
        </is>
      </c>
      <c r="D780" t="inlineStr">
        <is>
          <t>семьсот семьдесят восемь</t>
        </is>
      </c>
      <c r="E780" t="inlineStr">
        <is>
          <t>тысяч</t>
        </is>
      </c>
      <c r="F780" t="inlineStr">
        <is>
          <t>копеек</t>
        </is>
      </c>
    </row>
    <row r="781">
      <c r="A781" t="n">
        <v>779</v>
      </c>
      <c r="B781" t="inlineStr">
        <is>
          <t>семьсот семьдесят девять</t>
        </is>
      </c>
      <c r="C781" t="inlineStr">
        <is>
          <t>рублей</t>
        </is>
      </c>
      <c r="D781" t="inlineStr">
        <is>
          <t>семьсот семьдесят девять</t>
        </is>
      </c>
      <c r="E781" t="inlineStr">
        <is>
          <t>тысяч</t>
        </is>
      </c>
      <c r="F781" t="inlineStr">
        <is>
          <t>копеек</t>
        </is>
      </c>
    </row>
    <row r="782">
      <c r="A782" t="n">
        <v>780</v>
      </c>
      <c r="B782" t="inlineStr">
        <is>
          <t>семьсот восемьдесят</t>
        </is>
      </c>
      <c r="C782" t="inlineStr">
        <is>
          <t>рублей</t>
        </is>
      </c>
      <c r="D782" t="inlineStr">
        <is>
          <t>семьсот восемьдесят</t>
        </is>
      </c>
      <c r="E782" t="inlineStr">
        <is>
          <t>тысяч</t>
        </is>
      </c>
      <c r="F782" t="inlineStr">
        <is>
          <t>копеек</t>
        </is>
      </c>
    </row>
    <row r="783">
      <c r="A783" t="n">
        <v>781</v>
      </c>
      <c r="B783" t="inlineStr">
        <is>
          <t>семьсот восемьдесят один</t>
        </is>
      </c>
      <c r="C783" t="inlineStr">
        <is>
          <t>рубль</t>
        </is>
      </c>
      <c r="D783" t="inlineStr">
        <is>
          <t>семьсот восемьдесят одна</t>
        </is>
      </c>
      <c r="E783" t="inlineStr">
        <is>
          <t>тысяча</t>
        </is>
      </c>
      <c r="F783" t="inlineStr">
        <is>
          <t>копейка</t>
        </is>
      </c>
    </row>
    <row r="784">
      <c r="A784" t="n">
        <v>782</v>
      </c>
      <c r="B784" t="inlineStr">
        <is>
          <t>семьсот восемьдесят два</t>
        </is>
      </c>
      <c r="C784" t="inlineStr">
        <is>
          <t>рубля</t>
        </is>
      </c>
      <c r="D784" t="inlineStr">
        <is>
          <t>семьсот восемьдесят две</t>
        </is>
      </c>
      <c r="E784" t="inlineStr">
        <is>
          <t>тысячи</t>
        </is>
      </c>
      <c r="F784" t="inlineStr">
        <is>
          <t>копейки</t>
        </is>
      </c>
    </row>
    <row r="785">
      <c r="A785" t="n">
        <v>783</v>
      </c>
      <c r="B785" t="inlineStr">
        <is>
          <t>семьсот восемьдесят три</t>
        </is>
      </c>
      <c r="C785" t="inlineStr">
        <is>
          <t>рубля</t>
        </is>
      </c>
      <c r="D785" t="inlineStr">
        <is>
          <t>семьсот восемьдесят три</t>
        </is>
      </c>
      <c r="E785" t="inlineStr">
        <is>
          <t>тысячи</t>
        </is>
      </c>
      <c r="F785" t="inlineStr">
        <is>
          <t>копейки</t>
        </is>
      </c>
    </row>
    <row r="786">
      <c r="A786" t="n">
        <v>784</v>
      </c>
      <c r="B786" t="inlineStr">
        <is>
          <t>семьсот восемьдесят четыре</t>
        </is>
      </c>
      <c r="C786" t="inlineStr">
        <is>
          <t>рубля</t>
        </is>
      </c>
      <c r="D786" t="inlineStr">
        <is>
          <t>семьсот восемьдесят четыре</t>
        </is>
      </c>
      <c r="E786" t="inlineStr">
        <is>
          <t>тысячи</t>
        </is>
      </c>
      <c r="F786" t="inlineStr">
        <is>
          <t>копейки</t>
        </is>
      </c>
    </row>
    <row r="787">
      <c r="A787" t="n">
        <v>785</v>
      </c>
      <c r="B787" t="inlineStr">
        <is>
          <t>семьсот восемьдесят пять</t>
        </is>
      </c>
      <c r="C787" t="inlineStr">
        <is>
          <t>рублей</t>
        </is>
      </c>
      <c r="D787" t="inlineStr">
        <is>
          <t>семьсот восемьдесят пять</t>
        </is>
      </c>
      <c r="E787" t="inlineStr">
        <is>
          <t>тысяч</t>
        </is>
      </c>
      <c r="F787" t="inlineStr">
        <is>
          <t>копеек</t>
        </is>
      </c>
    </row>
    <row r="788">
      <c r="A788" t="n">
        <v>786</v>
      </c>
      <c r="B788" t="inlineStr">
        <is>
          <t>семьсот восемьдесят шесть</t>
        </is>
      </c>
      <c r="C788" t="inlineStr">
        <is>
          <t>рублей</t>
        </is>
      </c>
      <c r="D788" t="inlineStr">
        <is>
          <t>семьсот восемьдесят шесть</t>
        </is>
      </c>
      <c r="E788" t="inlineStr">
        <is>
          <t>тысяч</t>
        </is>
      </c>
      <c r="F788" t="inlineStr">
        <is>
          <t>копеек</t>
        </is>
      </c>
    </row>
    <row r="789">
      <c r="A789" t="n">
        <v>787</v>
      </c>
      <c r="B789" t="inlineStr">
        <is>
          <t>семьсот восемьдесят семь</t>
        </is>
      </c>
      <c r="C789" t="inlineStr">
        <is>
          <t>рублей</t>
        </is>
      </c>
      <c r="D789" t="inlineStr">
        <is>
          <t>семьсот восемьдесят семь</t>
        </is>
      </c>
      <c r="E789" t="inlineStr">
        <is>
          <t>тысяч</t>
        </is>
      </c>
      <c r="F789" t="inlineStr">
        <is>
          <t>копеек</t>
        </is>
      </c>
    </row>
    <row r="790">
      <c r="A790" t="n">
        <v>788</v>
      </c>
      <c r="B790" t="inlineStr">
        <is>
          <t>семьсот восемьдесят восемь</t>
        </is>
      </c>
      <c r="C790" t="inlineStr">
        <is>
          <t>рублей</t>
        </is>
      </c>
      <c r="D790" t="inlineStr">
        <is>
          <t>семьсот восемьдесят восемь</t>
        </is>
      </c>
      <c r="E790" t="inlineStr">
        <is>
          <t>тысяч</t>
        </is>
      </c>
      <c r="F790" t="inlineStr">
        <is>
          <t>копеек</t>
        </is>
      </c>
    </row>
    <row r="791">
      <c r="A791" t="n">
        <v>789</v>
      </c>
      <c r="B791" t="inlineStr">
        <is>
          <t>семьсот восемьдесят девять</t>
        </is>
      </c>
      <c r="C791" t="inlineStr">
        <is>
          <t>рублей</t>
        </is>
      </c>
      <c r="D791" t="inlineStr">
        <is>
          <t>семьсот восемьдесят девять</t>
        </is>
      </c>
      <c r="E791" t="inlineStr">
        <is>
          <t>тысяч</t>
        </is>
      </c>
      <c r="F791" t="inlineStr">
        <is>
          <t>копеек</t>
        </is>
      </c>
    </row>
    <row r="792">
      <c r="A792" t="n">
        <v>790</v>
      </c>
      <c r="B792" t="inlineStr">
        <is>
          <t>семьсот девяносто</t>
        </is>
      </c>
      <c r="C792" t="inlineStr">
        <is>
          <t>рублей</t>
        </is>
      </c>
      <c r="D792" t="inlineStr">
        <is>
          <t>семьсот девяносто</t>
        </is>
      </c>
      <c r="E792" t="inlineStr">
        <is>
          <t>тысяч</t>
        </is>
      </c>
      <c r="F792" t="inlineStr">
        <is>
          <t>копеек</t>
        </is>
      </c>
    </row>
    <row r="793">
      <c r="A793" t="n">
        <v>791</v>
      </c>
      <c r="B793" t="inlineStr">
        <is>
          <t>семьсот девяносто один</t>
        </is>
      </c>
      <c r="C793" t="inlineStr">
        <is>
          <t>рубль</t>
        </is>
      </c>
      <c r="D793" t="inlineStr">
        <is>
          <t>семьсот девяносто одна</t>
        </is>
      </c>
      <c r="E793" t="inlineStr">
        <is>
          <t>тысяча</t>
        </is>
      </c>
      <c r="F793" t="inlineStr">
        <is>
          <t>копейка</t>
        </is>
      </c>
    </row>
    <row r="794">
      <c r="A794" t="n">
        <v>792</v>
      </c>
      <c r="B794" t="inlineStr">
        <is>
          <t>семьсот девяносто два</t>
        </is>
      </c>
      <c r="C794" t="inlineStr">
        <is>
          <t>рубля</t>
        </is>
      </c>
      <c r="D794" t="inlineStr">
        <is>
          <t>семьсот девяносто две</t>
        </is>
      </c>
      <c r="E794" t="inlineStr">
        <is>
          <t>тысячи</t>
        </is>
      </c>
      <c r="F794" t="inlineStr">
        <is>
          <t>копейки</t>
        </is>
      </c>
    </row>
    <row r="795">
      <c r="A795" t="n">
        <v>793</v>
      </c>
      <c r="B795" t="inlineStr">
        <is>
          <t>семьсот девяносто три</t>
        </is>
      </c>
      <c r="C795" t="inlineStr">
        <is>
          <t>рубля</t>
        </is>
      </c>
      <c r="D795" t="inlineStr">
        <is>
          <t>семьсот девяносто три</t>
        </is>
      </c>
      <c r="E795" t="inlineStr">
        <is>
          <t>тысячи</t>
        </is>
      </c>
      <c r="F795" t="inlineStr">
        <is>
          <t>копейки</t>
        </is>
      </c>
    </row>
    <row r="796">
      <c r="A796" t="n">
        <v>794</v>
      </c>
      <c r="B796" t="inlineStr">
        <is>
          <t>семьсот девяносто четыре</t>
        </is>
      </c>
      <c r="C796" t="inlineStr">
        <is>
          <t>рубля</t>
        </is>
      </c>
      <c r="D796" t="inlineStr">
        <is>
          <t>семьсот девяносто четыре</t>
        </is>
      </c>
      <c r="E796" t="inlineStr">
        <is>
          <t>тысячи</t>
        </is>
      </c>
      <c r="F796" t="inlineStr">
        <is>
          <t>копейки</t>
        </is>
      </c>
    </row>
    <row r="797">
      <c r="A797" t="n">
        <v>795</v>
      </c>
      <c r="B797" t="inlineStr">
        <is>
          <t>семьсот девяносто пять</t>
        </is>
      </c>
      <c r="C797" t="inlineStr">
        <is>
          <t>рублей</t>
        </is>
      </c>
      <c r="D797" t="inlineStr">
        <is>
          <t>семьсот девяносто пять</t>
        </is>
      </c>
      <c r="E797" t="inlineStr">
        <is>
          <t>тысяч</t>
        </is>
      </c>
      <c r="F797" t="inlineStr">
        <is>
          <t>копеек</t>
        </is>
      </c>
    </row>
    <row r="798">
      <c r="A798" t="n">
        <v>796</v>
      </c>
      <c r="B798" t="inlineStr">
        <is>
          <t>семьсот девяносто шесть</t>
        </is>
      </c>
      <c r="C798" t="inlineStr">
        <is>
          <t>рублей</t>
        </is>
      </c>
      <c r="D798" t="inlineStr">
        <is>
          <t>семьсот девяносто шесть</t>
        </is>
      </c>
      <c r="E798" t="inlineStr">
        <is>
          <t>тысяч</t>
        </is>
      </c>
      <c r="F798" t="inlineStr">
        <is>
          <t>копеек</t>
        </is>
      </c>
    </row>
    <row r="799">
      <c r="A799" t="n">
        <v>797</v>
      </c>
      <c r="B799" t="inlineStr">
        <is>
          <t>семьсот девяносто семь</t>
        </is>
      </c>
      <c r="C799" t="inlineStr">
        <is>
          <t>рублей</t>
        </is>
      </c>
      <c r="D799" t="inlineStr">
        <is>
          <t>семьсот девяносто семь</t>
        </is>
      </c>
      <c r="E799" t="inlineStr">
        <is>
          <t>тысяч</t>
        </is>
      </c>
      <c r="F799" t="inlineStr">
        <is>
          <t>копеек</t>
        </is>
      </c>
    </row>
    <row r="800">
      <c r="A800" t="n">
        <v>798</v>
      </c>
      <c r="B800" t="inlineStr">
        <is>
          <t>семьсот девяносто восемь</t>
        </is>
      </c>
      <c r="C800" t="inlineStr">
        <is>
          <t>рублей</t>
        </is>
      </c>
      <c r="D800" t="inlineStr">
        <is>
          <t>семьсот девяносто восемь</t>
        </is>
      </c>
      <c r="E800" t="inlineStr">
        <is>
          <t>тысяч</t>
        </is>
      </c>
      <c r="F800" t="inlineStr">
        <is>
          <t>копеек</t>
        </is>
      </c>
    </row>
    <row r="801">
      <c r="A801" t="n">
        <v>799</v>
      </c>
      <c r="B801" t="inlineStr">
        <is>
          <t>семьсот девяносто девять</t>
        </is>
      </c>
      <c r="C801" t="inlineStr">
        <is>
          <t>рублей</t>
        </is>
      </c>
      <c r="D801" t="inlineStr">
        <is>
          <t>семьсот девяносто девять</t>
        </is>
      </c>
      <c r="E801" t="inlineStr">
        <is>
          <t>тысяч</t>
        </is>
      </c>
      <c r="F801" t="inlineStr">
        <is>
          <t>копеек</t>
        </is>
      </c>
    </row>
    <row r="802">
      <c r="A802" t="n">
        <v>800</v>
      </c>
      <c r="B802" t="inlineStr">
        <is>
          <t>восемьсот</t>
        </is>
      </c>
      <c r="C802" t="inlineStr">
        <is>
          <t>рублей</t>
        </is>
      </c>
      <c r="D802" t="inlineStr">
        <is>
          <t>восемьсот</t>
        </is>
      </c>
      <c r="E802" t="inlineStr">
        <is>
          <t>тысяч</t>
        </is>
      </c>
      <c r="F802" t="inlineStr">
        <is>
          <t>копеек</t>
        </is>
      </c>
    </row>
    <row r="803">
      <c r="A803" t="n">
        <v>801</v>
      </c>
      <c r="B803" t="inlineStr">
        <is>
          <t>восемьсот один</t>
        </is>
      </c>
      <c r="C803" t="inlineStr">
        <is>
          <t>рубль</t>
        </is>
      </c>
      <c r="D803" t="inlineStr">
        <is>
          <t>восемьсот одна</t>
        </is>
      </c>
      <c r="E803" t="inlineStr">
        <is>
          <t>тысяча</t>
        </is>
      </c>
      <c r="F803" t="inlineStr">
        <is>
          <t>копейка</t>
        </is>
      </c>
    </row>
    <row r="804">
      <c r="A804" t="n">
        <v>802</v>
      </c>
      <c r="B804" t="inlineStr">
        <is>
          <t>восемьсот два</t>
        </is>
      </c>
      <c r="C804" t="inlineStr">
        <is>
          <t>рубля</t>
        </is>
      </c>
      <c r="D804" t="inlineStr">
        <is>
          <t>восемьсот две</t>
        </is>
      </c>
      <c r="E804" t="inlineStr">
        <is>
          <t>тысячи</t>
        </is>
      </c>
      <c r="F804" t="inlineStr">
        <is>
          <t>копейки</t>
        </is>
      </c>
    </row>
    <row r="805">
      <c r="A805" t="n">
        <v>803</v>
      </c>
      <c r="B805" t="inlineStr">
        <is>
          <t>восемьсот три</t>
        </is>
      </c>
      <c r="C805" t="inlineStr">
        <is>
          <t>рубля</t>
        </is>
      </c>
      <c r="D805" t="inlineStr">
        <is>
          <t>восемьсот три</t>
        </is>
      </c>
      <c r="E805" t="inlineStr">
        <is>
          <t>тысячи</t>
        </is>
      </c>
      <c r="F805" t="inlineStr">
        <is>
          <t>копейки</t>
        </is>
      </c>
    </row>
    <row r="806">
      <c r="A806" t="n">
        <v>804</v>
      </c>
      <c r="B806" t="inlineStr">
        <is>
          <t>восемьсот четыре</t>
        </is>
      </c>
      <c r="C806" t="inlineStr">
        <is>
          <t>рубля</t>
        </is>
      </c>
      <c r="D806" t="inlineStr">
        <is>
          <t>восемьсот четыре</t>
        </is>
      </c>
      <c r="E806" t="inlineStr">
        <is>
          <t>тысячи</t>
        </is>
      </c>
      <c r="F806" t="inlineStr">
        <is>
          <t>копейки</t>
        </is>
      </c>
    </row>
    <row r="807">
      <c r="A807" t="n">
        <v>805</v>
      </c>
      <c r="B807" t="inlineStr">
        <is>
          <t>восемьсот пять</t>
        </is>
      </c>
      <c r="C807" t="inlineStr">
        <is>
          <t>рублей</t>
        </is>
      </c>
      <c r="D807" t="inlineStr">
        <is>
          <t>восемьсот пять</t>
        </is>
      </c>
      <c r="E807" t="inlineStr">
        <is>
          <t>тысяч</t>
        </is>
      </c>
      <c r="F807" t="inlineStr">
        <is>
          <t>копеек</t>
        </is>
      </c>
    </row>
    <row r="808">
      <c r="A808" t="n">
        <v>806</v>
      </c>
      <c r="B808" t="inlineStr">
        <is>
          <t>восемьсот шесть</t>
        </is>
      </c>
      <c r="C808" t="inlineStr">
        <is>
          <t>рублей</t>
        </is>
      </c>
      <c r="D808" t="inlineStr">
        <is>
          <t>восемьсот шесть</t>
        </is>
      </c>
      <c r="E808" t="inlineStr">
        <is>
          <t>тысяч</t>
        </is>
      </c>
      <c r="F808" t="inlineStr">
        <is>
          <t>копеек</t>
        </is>
      </c>
    </row>
    <row r="809">
      <c r="A809" t="n">
        <v>807</v>
      </c>
      <c r="B809" t="inlineStr">
        <is>
          <t>восемьсот семь</t>
        </is>
      </c>
      <c r="C809" t="inlineStr">
        <is>
          <t>рублей</t>
        </is>
      </c>
      <c r="D809" t="inlineStr">
        <is>
          <t>восемьсот семь</t>
        </is>
      </c>
      <c r="E809" t="inlineStr">
        <is>
          <t>тысяч</t>
        </is>
      </c>
      <c r="F809" t="inlineStr">
        <is>
          <t>копеек</t>
        </is>
      </c>
    </row>
    <row r="810">
      <c r="A810" t="n">
        <v>808</v>
      </c>
      <c r="B810" t="inlineStr">
        <is>
          <t>восемьсот восемь</t>
        </is>
      </c>
      <c r="C810" t="inlineStr">
        <is>
          <t>рублей</t>
        </is>
      </c>
      <c r="D810" t="inlineStr">
        <is>
          <t>восемьсот восемь</t>
        </is>
      </c>
      <c r="E810" t="inlineStr">
        <is>
          <t>тысяч</t>
        </is>
      </c>
      <c r="F810" t="inlineStr">
        <is>
          <t>копеек</t>
        </is>
      </c>
    </row>
    <row r="811">
      <c r="A811" t="n">
        <v>809</v>
      </c>
      <c r="B811" t="inlineStr">
        <is>
          <t>восемьсот девять</t>
        </is>
      </c>
      <c r="C811" t="inlineStr">
        <is>
          <t>рублей</t>
        </is>
      </c>
      <c r="D811" t="inlineStr">
        <is>
          <t>восемьсот девять</t>
        </is>
      </c>
      <c r="E811" t="inlineStr">
        <is>
          <t>тысяч</t>
        </is>
      </c>
      <c r="F811" t="inlineStr">
        <is>
          <t>копеек</t>
        </is>
      </c>
    </row>
    <row r="812">
      <c r="A812" t="n">
        <v>810</v>
      </c>
      <c r="B812" t="inlineStr">
        <is>
          <t>восемьсот десять</t>
        </is>
      </c>
      <c r="C812" t="inlineStr">
        <is>
          <t>рублей</t>
        </is>
      </c>
      <c r="D812" t="inlineStr">
        <is>
          <t>восемьсот десять</t>
        </is>
      </c>
      <c r="E812" t="inlineStr">
        <is>
          <t>тысяч</t>
        </is>
      </c>
      <c r="F812" t="inlineStr">
        <is>
          <t>копеек</t>
        </is>
      </c>
    </row>
    <row r="813">
      <c r="A813" t="n">
        <v>811</v>
      </c>
      <c r="B813" t="inlineStr">
        <is>
          <t>восемьсот одиннадцать</t>
        </is>
      </c>
      <c r="C813" t="inlineStr">
        <is>
          <t>рублей</t>
        </is>
      </c>
      <c r="D813" t="inlineStr">
        <is>
          <t>восемьсот одиннадцать</t>
        </is>
      </c>
      <c r="E813" t="inlineStr">
        <is>
          <t>тысяч</t>
        </is>
      </c>
      <c r="F813" t="inlineStr">
        <is>
          <t>копеек</t>
        </is>
      </c>
    </row>
    <row r="814">
      <c r="A814" t="n">
        <v>812</v>
      </c>
      <c r="B814" t="inlineStr">
        <is>
          <t>восемьсот двенадцать</t>
        </is>
      </c>
      <c r="C814" t="inlineStr">
        <is>
          <t>рублей</t>
        </is>
      </c>
      <c r="D814" t="inlineStr">
        <is>
          <t>восемьсот двенадцать</t>
        </is>
      </c>
      <c r="E814" t="inlineStr">
        <is>
          <t>тысяч</t>
        </is>
      </c>
      <c r="F814" t="inlineStr">
        <is>
          <t>копеек</t>
        </is>
      </c>
    </row>
    <row r="815">
      <c r="A815" t="n">
        <v>813</v>
      </c>
      <c r="B815" t="inlineStr">
        <is>
          <t>восемьсот тринадцать</t>
        </is>
      </c>
      <c r="C815" t="inlineStr">
        <is>
          <t>рублей</t>
        </is>
      </c>
      <c r="D815" t="inlineStr">
        <is>
          <t>восемьсот тринадцать</t>
        </is>
      </c>
      <c r="E815" t="inlineStr">
        <is>
          <t>тысяч</t>
        </is>
      </c>
      <c r="F815" t="inlineStr">
        <is>
          <t>копеек</t>
        </is>
      </c>
    </row>
    <row r="816">
      <c r="A816" t="n">
        <v>814</v>
      </c>
      <c r="B816" t="inlineStr">
        <is>
          <t>восемьсот четырнадцать</t>
        </is>
      </c>
      <c r="C816" t="inlineStr">
        <is>
          <t>рублей</t>
        </is>
      </c>
      <c r="D816" t="inlineStr">
        <is>
          <t>восемьсот четырнадцать</t>
        </is>
      </c>
      <c r="E816" t="inlineStr">
        <is>
          <t>тысяч</t>
        </is>
      </c>
      <c r="F816" t="inlineStr">
        <is>
          <t>копеек</t>
        </is>
      </c>
    </row>
    <row r="817">
      <c r="A817" t="n">
        <v>815</v>
      </c>
      <c r="B817" t="inlineStr">
        <is>
          <t>восемьсот пятнадцать</t>
        </is>
      </c>
      <c r="C817" t="inlineStr">
        <is>
          <t>рублей</t>
        </is>
      </c>
      <c r="D817" t="inlineStr">
        <is>
          <t>восемьсот пятнадцать</t>
        </is>
      </c>
      <c r="E817" t="inlineStr">
        <is>
          <t>тысяч</t>
        </is>
      </c>
      <c r="F817" t="inlineStr">
        <is>
          <t>копеек</t>
        </is>
      </c>
    </row>
    <row r="818">
      <c r="A818" t="n">
        <v>816</v>
      </c>
      <c r="B818" t="inlineStr">
        <is>
          <t>восемьсот шестнадцать</t>
        </is>
      </c>
      <c r="C818" t="inlineStr">
        <is>
          <t>рублей</t>
        </is>
      </c>
      <c r="D818" t="inlineStr">
        <is>
          <t>восемьсот шестнадцать</t>
        </is>
      </c>
      <c r="E818" t="inlineStr">
        <is>
          <t>тысяч</t>
        </is>
      </c>
      <c r="F818" t="inlineStr">
        <is>
          <t>копеек</t>
        </is>
      </c>
    </row>
    <row r="819">
      <c r="A819" t="n">
        <v>817</v>
      </c>
      <c r="B819" t="inlineStr">
        <is>
          <t>восемьсот семнадцать</t>
        </is>
      </c>
      <c r="C819" t="inlineStr">
        <is>
          <t>рублей</t>
        </is>
      </c>
      <c r="D819" t="inlineStr">
        <is>
          <t>восемьсот семнадцать</t>
        </is>
      </c>
      <c r="E819" t="inlineStr">
        <is>
          <t>тысяч</t>
        </is>
      </c>
      <c r="F819" t="inlineStr">
        <is>
          <t>копеек</t>
        </is>
      </c>
    </row>
    <row r="820">
      <c r="A820" t="n">
        <v>818</v>
      </c>
      <c r="B820" t="inlineStr">
        <is>
          <t>восемьсот восемнадцать</t>
        </is>
      </c>
      <c r="C820" t="inlineStr">
        <is>
          <t>рублей</t>
        </is>
      </c>
      <c r="D820" t="inlineStr">
        <is>
          <t>восемьсот восемнадцать</t>
        </is>
      </c>
      <c r="E820" t="inlineStr">
        <is>
          <t>тысяч</t>
        </is>
      </c>
      <c r="F820" t="inlineStr">
        <is>
          <t>копеек</t>
        </is>
      </c>
    </row>
    <row r="821">
      <c r="A821" t="n">
        <v>819</v>
      </c>
      <c r="B821" t="inlineStr">
        <is>
          <t>восемьсот девятнадцать</t>
        </is>
      </c>
      <c r="C821" t="inlineStr">
        <is>
          <t>рублей</t>
        </is>
      </c>
      <c r="D821" t="inlineStr">
        <is>
          <t>восемьсот девятнадцать</t>
        </is>
      </c>
      <c r="E821" t="inlineStr">
        <is>
          <t>тысяч</t>
        </is>
      </c>
      <c r="F821" t="inlineStr">
        <is>
          <t>копеек</t>
        </is>
      </c>
    </row>
    <row r="822">
      <c r="A822" t="n">
        <v>820</v>
      </c>
      <c r="B822" t="inlineStr">
        <is>
          <t>восемьсот двадцать</t>
        </is>
      </c>
      <c r="C822" t="inlineStr">
        <is>
          <t>рублей</t>
        </is>
      </c>
      <c r="D822" t="inlineStr">
        <is>
          <t>восемьсот двадцать</t>
        </is>
      </c>
      <c r="E822" t="inlineStr">
        <is>
          <t>тысяч</t>
        </is>
      </c>
      <c r="F822" t="inlineStr">
        <is>
          <t>копеек</t>
        </is>
      </c>
    </row>
    <row r="823">
      <c r="A823" t="n">
        <v>821</v>
      </c>
      <c r="B823" t="inlineStr">
        <is>
          <t>восемьсот двадцать один</t>
        </is>
      </c>
      <c r="C823" t="inlineStr">
        <is>
          <t>рубль</t>
        </is>
      </c>
      <c r="D823" t="inlineStr">
        <is>
          <t>восемьсот двадцать одна</t>
        </is>
      </c>
      <c r="E823" t="inlineStr">
        <is>
          <t>тысяча</t>
        </is>
      </c>
      <c r="F823" t="inlineStr">
        <is>
          <t>копейка</t>
        </is>
      </c>
    </row>
    <row r="824">
      <c r="A824" t="n">
        <v>822</v>
      </c>
      <c r="B824" t="inlineStr">
        <is>
          <t>восемьсот двадцать два</t>
        </is>
      </c>
      <c r="C824" t="inlineStr">
        <is>
          <t>рубля</t>
        </is>
      </c>
      <c r="D824" t="inlineStr">
        <is>
          <t>восемьсот двадцать две</t>
        </is>
      </c>
      <c r="E824" t="inlineStr">
        <is>
          <t>тысячи</t>
        </is>
      </c>
      <c r="F824" t="inlineStr">
        <is>
          <t>копейки</t>
        </is>
      </c>
    </row>
    <row r="825">
      <c r="A825" t="n">
        <v>823</v>
      </c>
      <c r="B825" t="inlineStr">
        <is>
          <t>восемьсот двадцать три</t>
        </is>
      </c>
      <c r="C825" t="inlineStr">
        <is>
          <t>рубля</t>
        </is>
      </c>
      <c r="D825" t="inlineStr">
        <is>
          <t>восемьсот двадцать три</t>
        </is>
      </c>
      <c r="E825" t="inlineStr">
        <is>
          <t>тысячи</t>
        </is>
      </c>
      <c r="F825" t="inlineStr">
        <is>
          <t>копейки</t>
        </is>
      </c>
    </row>
    <row r="826">
      <c r="A826" t="n">
        <v>824</v>
      </c>
      <c r="B826" t="inlineStr">
        <is>
          <t>восемьсот двадцать четыре</t>
        </is>
      </c>
      <c r="C826" t="inlineStr">
        <is>
          <t>рубля</t>
        </is>
      </c>
      <c r="D826" t="inlineStr">
        <is>
          <t>восемьсот двадцать четыре</t>
        </is>
      </c>
      <c r="E826" t="inlineStr">
        <is>
          <t>тысячи</t>
        </is>
      </c>
      <c r="F826" t="inlineStr">
        <is>
          <t>копейки</t>
        </is>
      </c>
    </row>
    <row r="827">
      <c r="A827" t="n">
        <v>825</v>
      </c>
      <c r="B827" t="inlineStr">
        <is>
          <t>восемьсот двадцать пять</t>
        </is>
      </c>
      <c r="C827" t="inlineStr">
        <is>
          <t>рублей</t>
        </is>
      </c>
      <c r="D827" t="inlineStr">
        <is>
          <t>восемьсот двадцать пять</t>
        </is>
      </c>
      <c r="E827" t="inlineStr">
        <is>
          <t>тысяч</t>
        </is>
      </c>
      <c r="F827" t="inlineStr">
        <is>
          <t>копеек</t>
        </is>
      </c>
    </row>
    <row r="828">
      <c r="A828" t="n">
        <v>826</v>
      </c>
      <c r="B828" t="inlineStr">
        <is>
          <t>восемьсот двадцать шесть</t>
        </is>
      </c>
      <c r="C828" t="inlineStr">
        <is>
          <t>рублей</t>
        </is>
      </c>
      <c r="D828" t="inlineStr">
        <is>
          <t>восемьсот двадцать шесть</t>
        </is>
      </c>
      <c r="E828" t="inlineStr">
        <is>
          <t>тысяч</t>
        </is>
      </c>
      <c r="F828" t="inlineStr">
        <is>
          <t>копеек</t>
        </is>
      </c>
    </row>
    <row r="829">
      <c r="A829" t="n">
        <v>827</v>
      </c>
      <c r="B829" t="inlineStr">
        <is>
          <t>восемьсот двадцать семь</t>
        </is>
      </c>
      <c r="C829" t="inlineStr">
        <is>
          <t>рублей</t>
        </is>
      </c>
      <c r="D829" t="inlineStr">
        <is>
          <t>восемьсот двадцать семь</t>
        </is>
      </c>
      <c r="E829" t="inlineStr">
        <is>
          <t>тысяч</t>
        </is>
      </c>
      <c r="F829" t="inlineStr">
        <is>
          <t>копеек</t>
        </is>
      </c>
    </row>
    <row r="830">
      <c r="A830" t="n">
        <v>828</v>
      </c>
      <c r="B830" t="inlineStr">
        <is>
          <t>восемьсот двадцать восемь</t>
        </is>
      </c>
      <c r="C830" t="inlineStr">
        <is>
          <t>рублей</t>
        </is>
      </c>
      <c r="D830" t="inlineStr">
        <is>
          <t>восемьсот двадцать восемь</t>
        </is>
      </c>
      <c r="E830" t="inlineStr">
        <is>
          <t>тысяч</t>
        </is>
      </c>
      <c r="F830" t="inlineStr">
        <is>
          <t>копеек</t>
        </is>
      </c>
    </row>
    <row r="831">
      <c r="A831" t="n">
        <v>829</v>
      </c>
      <c r="B831" t="inlineStr">
        <is>
          <t>восемьсот двадцать девять</t>
        </is>
      </c>
      <c r="C831" t="inlineStr">
        <is>
          <t>рублей</t>
        </is>
      </c>
      <c r="D831" t="inlineStr">
        <is>
          <t>восемьсот двадцать девять</t>
        </is>
      </c>
      <c r="E831" t="inlineStr">
        <is>
          <t>тысяч</t>
        </is>
      </c>
      <c r="F831" t="inlineStr">
        <is>
          <t>копеек</t>
        </is>
      </c>
    </row>
    <row r="832">
      <c r="A832" t="n">
        <v>830</v>
      </c>
      <c r="B832" t="inlineStr">
        <is>
          <t>восемьсот тридцать</t>
        </is>
      </c>
      <c r="C832" t="inlineStr">
        <is>
          <t>рублей</t>
        </is>
      </c>
      <c r="D832" t="inlineStr">
        <is>
          <t>восемьсот тридцать</t>
        </is>
      </c>
      <c r="E832" t="inlineStr">
        <is>
          <t>тысяч</t>
        </is>
      </c>
      <c r="F832" t="inlineStr">
        <is>
          <t>копеек</t>
        </is>
      </c>
    </row>
    <row r="833">
      <c r="A833" t="n">
        <v>831</v>
      </c>
      <c r="B833" t="inlineStr">
        <is>
          <t>восемьсот тридцать один</t>
        </is>
      </c>
      <c r="C833" t="inlineStr">
        <is>
          <t>рубль</t>
        </is>
      </c>
      <c r="D833" t="inlineStr">
        <is>
          <t>восемьсот тридцать одна</t>
        </is>
      </c>
      <c r="E833" t="inlineStr">
        <is>
          <t>тысяча</t>
        </is>
      </c>
      <c r="F833" t="inlineStr">
        <is>
          <t>копейка</t>
        </is>
      </c>
    </row>
    <row r="834">
      <c r="A834" t="n">
        <v>832</v>
      </c>
      <c r="B834" t="inlineStr">
        <is>
          <t>восемьсот тридцать два</t>
        </is>
      </c>
      <c r="C834" t="inlineStr">
        <is>
          <t>рубля</t>
        </is>
      </c>
      <c r="D834" t="inlineStr">
        <is>
          <t>восемьсот тридцать две</t>
        </is>
      </c>
      <c r="E834" t="inlineStr">
        <is>
          <t>тысячи</t>
        </is>
      </c>
      <c r="F834" t="inlineStr">
        <is>
          <t>копейки</t>
        </is>
      </c>
    </row>
    <row r="835">
      <c r="A835" t="n">
        <v>833</v>
      </c>
      <c r="B835" t="inlineStr">
        <is>
          <t>восемьсот тридцать три</t>
        </is>
      </c>
      <c r="C835" t="inlineStr">
        <is>
          <t>рубля</t>
        </is>
      </c>
      <c r="D835" t="inlineStr">
        <is>
          <t>восемьсот тридцать три</t>
        </is>
      </c>
      <c r="E835" t="inlineStr">
        <is>
          <t>тысячи</t>
        </is>
      </c>
      <c r="F835" t="inlineStr">
        <is>
          <t>копейки</t>
        </is>
      </c>
    </row>
    <row r="836">
      <c r="A836" t="n">
        <v>834</v>
      </c>
      <c r="B836" t="inlineStr">
        <is>
          <t>восемьсот тридцать четыре</t>
        </is>
      </c>
      <c r="C836" t="inlineStr">
        <is>
          <t>рубля</t>
        </is>
      </c>
      <c r="D836" t="inlineStr">
        <is>
          <t>восемьсот тридцать четыре</t>
        </is>
      </c>
      <c r="E836" t="inlineStr">
        <is>
          <t>тысячи</t>
        </is>
      </c>
      <c r="F836" t="inlineStr">
        <is>
          <t>копейки</t>
        </is>
      </c>
    </row>
    <row r="837">
      <c r="A837" t="n">
        <v>835</v>
      </c>
      <c r="B837" t="inlineStr">
        <is>
          <t>восемьсот тридцать пять</t>
        </is>
      </c>
      <c r="C837" t="inlineStr">
        <is>
          <t>рублей</t>
        </is>
      </c>
      <c r="D837" t="inlineStr">
        <is>
          <t>восемьсот тридцать пять</t>
        </is>
      </c>
      <c r="E837" t="inlineStr">
        <is>
          <t>тысяч</t>
        </is>
      </c>
      <c r="F837" t="inlineStr">
        <is>
          <t>копеек</t>
        </is>
      </c>
    </row>
    <row r="838">
      <c r="A838" t="n">
        <v>836</v>
      </c>
      <c r="B838" t="inlineStr">
        <is>
          <t>восемьсот тридцать шесть</t>
        </is>
      </c>
      <c r="C838" t="inlineStr">
        <is>
          <t>рублей</t>
        </is>
      </c>
      <c r="D838" t="inlineStr">
        <is>
          <t>восемьсот тридцать шесть</t>
        </is>
      </c>
      <c r="E838" t="inlineStr">
        <is>
          <t>тысяч</t>
        </is>
      </c>
      <c r="F838" t="inlineStr">
        <is>
          <t>копеек</t>
        </is>
      </c>
    </row>
    <row r="839">
      <c r="A839" t="n">
        <v>837</v>
      </c>
      <c r="B839" t="inlineStr">
        <is>
          <t>восемьсот тридцать семь</t>
        </is>
      </c>
      <c r="C839" t="inlineStr">
        <is>
          <t>рублей</t>
        </is>
      </c>
      <c r="D839" t="inlineStr">
        <is>
          <t>восемьсот тридцать семь</t>
        </is>
      </c>
      <c r="E839" t="inlineStr">
        <is>
          <t>тысяч</t>
        </is>
      </c>
      <c r="F839" t="inlineStr">
        <is>
          <t>копеек</t>
        </is>
      </c>
    </row>
    <row r="840">
      <c r="A840" t="n">
        <v>838</v>
      </c>
      <c r="B840" t="inlineStr">
        <is>
          <t>восемьсот тридцать восемь</t>
        </is>
      </c>
      <c r="C840" t="inlineStr">
        <is>
          <t>рублей</t>
        </is>
      </c>
      <c r="D840" t="inlineStr">
        <is>
          <t>восемьсот тридцать восемь</t>
        </is>
      </c>
      <c r="E840" t="inlineStr">
        <is>
          <t>тысяч</t>
        </is>
      </c>
      <c r="F840" t="inlineStr">
        <is>
          <t>копеек</t>
        </is>
      </c>
    </row>
    <row r="841">
      <c r="A841" t="n">
        <v>839</v>
      </c>
      <c r="B841" t="inlineStr">
        <is>
          <t>восемьсот тридцать девять</t>
        </is>
      </c>
      <c r="C841" t="inlineStr">
        <is>
          <t>рублей</t>
        </is>
      </c>
      <c r="D841" t="inlineStr">
        <is>
          <t>восемьсот тридцать девять</t>
        </is>
      </c>
      <c r="E841" t="inlineStr">
        <is>
          <t>тысяч</t>
        </is>
      </c>
      <c r="F841" t="inlineStr">
        <is>
          <t>копеек</t>
        </is>
      </c>
    </row>
    <row r="842">
      <c r="A842" t="n">
        <v>840</v>
      </c>
      <c r="B842" t="inlineStr">
        <is>
          <t>восемьсот сорок</t>
        </is>
      </c>
      <c r="C842" t="inlineStr">
        <is>
          <t>рублей</t>
        </is>
      </c>
      <c r="D842" t="inlineStr">
        <is>
          <t>восемьсот сорок</t>
        </is>
      </c>
      <c r="E842" t="inlineStr">
        <is>
          <t>тысяч</t>
        </is>
      </c>
      <c r="F842" t="inlineStr">
        <is>
          <t>копеек</t>
        </is>
      </c>
    </row>
    <row r="843">
      <c r="A843" t="n">
        <v>841</v>
      </c>
      <c r="B843" t="inlineStr">
        <is>
          <t>восемьсот сорок один</t>
        </is>
      </c>
      <c r="C843" t="inlineStr">
        <is>
          <t>рубль</t>
        </is>
      </c>
      <c r="D843" t="inlineStr">
        <is>
          <t>восемьсот сорок одна</t>
        </is>
      </c>
      <c r="E843" t="inlineStr">
        <is>
          <t>тысяча</t>
        </is>
      </c>
      <c r="F843" t="inlineStr">
        <is>
          <t>копейка</t>
        </is>
      </c>
    </row>
    <row r="844">
      <c r="A844" t="n">
        <v>842</v>
      </c>
      <c r="B844" t="inlineStr">
        <is>
          <t>восемьсот сорок два</t>
        </is>
      </c>
      <c r="C844" t="inlineStr">
        <is>
          <t>рубля</t>
        </is>
      </c>
      <c r="D844" t="inlineStr">
        <is>
          <t>восемьсот сорок две</t>
        </is>
      </c>
      <c r="E844" t="inlineStr">
        <is>
          <t>тысячи</t>
        </is>
      </c>
      <c r="F844" t="inlineStr">
        <is>
          <t>копейки</t>
        </is>
      </c>
    </row>
    <row r="845">
      <c r="A845" t="n">
        <v>843</v>
      </c>
      <c r="B845" t="inlineStr">
        <is>
          <t>восемьсот сорок три</t>
        </is>
      </c>
      <c r="C845" t="inlineStr">
        <is>
          <t>рубля</t>
        </is>
      </c>
      <c r="D845" t="inlineStr">
        <is>
          <t>восемьсот сорок три</t>
        </is>
      </c>
      <c r="E845" t="inlineStr">
        <is>
          <t>тысячи</t>
        </is>
      </c>
      <c r="F845" t="inlineStr">
        <is>
          <t>копейки</t>
        </is>
      </c>
    </row>
    <row r="846">
      <c r="A846" t="n">
        <v>844</v>
      </c>
      <c r="B846" t="inlineStr">
        <is>
          <t>восемьсот сорок четыре</t>
        </is>
      </c>
      <c r="C846" t="inlineStr">
        <is>
          <t>рубля</t>
        </is>
      </c>
      <c r="D846" t="inlineStr">
        <is>
          <t>восемьсот сорок четыре</t>
        </is>
      </c>
      <c r="E846" t="inlineStr">
        <is>
          <t>тысячи</t>
        </is>
      </c>
      <c r="F846" t="inlineStr">
        <is>
          <t>копейки</t>
        </is>
      </c>
    </row>
    <row r="847">
      <c r="A847" t="n">
        <v>845</v>
      </c>
      <c r="B847" t="inlineStr">
        <is>
          <t>восемьсот сорок пять</t>
        </is>
      </c>
      <c r="C847" t="inlineStr">
        <is>
          <t>рублей</t>
        </is>
      </c>
      <c r="D847" t="inlineStr">
        <is>
          <t>восемьсот сорок пять</t>
        </is>
      </c>
      <c r="E847" t="inlineStr">
        <is>
          <t>тысяч</t>
        </is>
      </c>
      <c r="F847" t="inlineStr">
        <is>
          <t>копеек</t>
        </is>
      </c>
    </row>
    <row r="848">
      <c r="A848" t="n">
        <v>846</v>
      </c>
      <c r="B848" t="inlineStr">
        <is>
          <t>восемьсот сорок шесть</t>
        </is>
      </c>
      <c r="C848" t="inlineStr">
        <is>
          <t>рублей</t>
        </is>
      </c>
      <c r="D848" t="inlineStr">
        <is>
          <t>восемьсот сорок шесть</t>
        </is>
      </c>
      <c r="E848" t="inlineStr">
        <is>
          <t>тысяч</t>
        </is>
      </c>
      <c r="F848" t="inlineStr">
        <is>
          <t>копеек</t>
        </is>
      </c>
    </row>
    <row r="849">
      <c r="A849" t="n">
        <v>847</v>
      </c>
      <c r="B849" t="inlineStr">
        <is>
          <t>восемьсот сорок семь</t>
        </is>
      </c>
      <c r="C849" t="inlineStr">
        <is>
          <t>рублей</t>
        </is>
      </c>
      <c r="D849" t="inlineStr">
        <is>
          <t>восемьсот сорок семь</t>
        </is>
      </c>
      <c r="E849" t="inlineStr">
        <is>
          <t>тысяч</t>
        </is>
      </c>
      <c r="F849" t="inlineStr">
        <is>
          <t>копеек</t>
        </is>
      </c>
    </row>
    <row r="850">
      <c r="A850" t="n">
        <v>848</v>
      </c>
      <c r="B850" t="inlineStr">
        <is>
          <t>восемьсот сорок восемь</t>
        </is>
      </c>
      <c r="C850" t="inlineStr">
        <is>
          <t>рублей</t>
        </is>
      </c>
      <c r="D850" t="inlineStr">
        <is>
          <t>восемьсот сорок восемь</t>
        </is>
      </c>
      <c r="E850" t="inlineStr">
        <is>
          <t>тысяч</t>
        </is>
      </c>
      <c r="F850" t="inlineStr">
        <is>
          <t>копеек</t>
        </is>
      </c>
    </row>
    <row r="851">
      <c r="A851" t="n">
        <v>849</v>
      </c>
      <c r="B851" t="inlineStr">
        <is>
          <t>восемьсот сорок девять</t>
        </is>
      </c>
      <c r="C851" t="inlineStr">
        <is>
          <t>рублей</t>
        </is>
      </c>
      <c r="D851" t="inlineStr">
        <is>
          <t>восемьсот сорок девять</t>
        </is>
      </c>
      <c r="E851" t="inlineStr">
        <is>
          <t>тысяч</t>
        </is>
      </c>
      <c r="F851" t="inlineStr">
        <is>
          <t>копеек</t>
        </is>
      </c>
    </row>
    <row r="852">
      <c r="A852" t="n">
        <v>850</v>
      </c>
      <c r="B852" t="inlineStr">
        <is>
          <t>восемьсот пятьдесят</t>
        </is>
      </c>
      <c r="C852" t="inlineStr">
        <is>
          <t>рублей</t>
        </is>
      </c>
      <c r="D852" t="inlineStr">
        <is>
          <t>восемьсот пятьдесят</t>
        </is>
      </c>
      <c r="E852" t="inlineStr">
        <is>
          <t>тысяч</t>
        </is>
      </c>
      <c r="F852" t="inlineStr">
        <is>
          <t>копеек</t>
        </is>
      </c>
    </row>
    <row r="853">
      <c r="A853" t="n">
        <v>851</v>
      </c>
      <c r="B853" t="inlineStr">
        <is>
          <t>восемьсот пятьдесят один</t>
        </is>
      </c>
      <c r="C853" t="inlineStr">
        <is>
          <t>рубль</t>
        </is>
      </c>
      <c r="D853" t="inlineStr">
        <is>
          <t>восемьсот пятьдесят одна</t>
        </is>
      </c>
      <c r="E853" t="inlineStr">
        <is>
          <t>тысяча</t>
        </is>
      </c>
      <c r="F853" t="inlineStr">
        <is>
          <t>копейка</t>
        </is>
      </c>
    </row>
    <row r="854">
      <c r="A854" t="n">
        <v>852</v>
      </c>
      <c r="B854" t="inlineStr">
        <is>
          <t>восемьсот пятьдесят два</t>
        </is>
      </c>
      <c r="C854" t="inlineStr">
        <is>
          <t>рубля</t>
        </is>
      </c>
      <c r="D854" t="inlineStr">
        <is>
          <t>восемьсот пятьдесят две</t>
        </is>
      </c>
      <c r="E854" t="inlineStr">
        <is>
          <t>тысячи</t>
        </is>
      </c>
      <c r="F854" t="inlineStr">
        <is>
          <t>копейки</t>
        </is>
      </c>
    </row>
    <row r="855">
      <c r="A855" t="n">
        <v>853</v>
      </c>
      <c r="B855" t="inlineStr">
        <is>
          <t>восемьсот пятьдесят три</t>
        </is>
      </c>
      <c r="C855" t="inlineStr">
        <is>
          <t>рубля</t>
        </is>
      </c>
      <c r="D855" t="inlineStr">
        <is>
          <t>восемьсот пятьдесят три</t>
        </is>
      </c>
      <c r="E855" t="inlineStr">
        <is>
          <t>тысячи</t>
        </is>
      </c>
      <c r="F855" t="inlineStr">
        <is>
          <t>копейки</t>
        </is>
      </c>
    </row>
    <row r="856">
      <c r="A856" t="n">
        <v>854</v>
      </c>
      <c r="B856" t="inlineStr">
        <is>
          <t>восемьсот пятьдесят четыре</t>
        </is>
      </c>
      <c r="C856" t="inlineStr">
        <is>
          <t>рубля</t>
        </is>
      </c>
      <c r="D856" t="inlineStr">
        <is>
          <t>восемьсот пятьдесят четыре</t>
        </is>
      </c>
      <c r="E856" t="inlineStr">
        <is>
          <t>тысячи</t>
        </is>
      </c>
      <c r="F856" t="inlineStr">
        <is>
          <t>копейки</t>
        </is>
      </c>
    </row>
    <row r="857">
      <c r="A857" t="n">
        <v>855</v>
      </c>
      <c r="B857" t="inlineStr">
        <is>
          <t>восемьсот пятьдесят пять</t>
        </is>
      </c>
      <c r="C857" t="inlineStr">
        <is>
          <t>рублей</t>
        </is>
      </c>
      <c r="D857" t="inlineStr">
        <is>
          <t>восемьсот пятьдесят пять</t>
        </is>
      </c>
      <c r="E857" t="inlineStr">
        <is>
          <t>тысяч</t>
        </is>
      </c>
      <c r="F857" t="inlineStr">
        <is>
          <t>копеек</t>
        </is>
      </c>
    </row>
    <row r="858">
      <c r="A858" t="n">
        <v>856</v>
      </c>
      <c r="B858" t="inlineStr">
        <is>
          <t>восемьсот пятьдесят шесть</t>
        </is>
      </c>
      <c r="C858" t="inlineStr">
        <is>
          <t>рублей</t>
        </is>
      </c>
      <c r="D858" t="inlineStr">
        <is>
          <t>восемьсот пятьдесят шесть</t>
        </is>
      </c>
      <c r="E858" t="inlineStr">
        <is>
          <t>тысяч</t>
        </is>
      </c>
      <c r="F858" t="inlineStr">
        <is>
          <t>копеек</t>
        </is>
      </c>
    </row>
    <row r="859">
      <c r="A859" t="n">
        <v>857</v>
      </c>
      <c r="B859" t="inlineStr">
        <is>
          <t>восемьсот пятьдесят семь</t>
        </is>
      </c>
      <c r="C859" t="inlineStr">
        <is>
          <t>рублей</t>
        </is>
      </c>
      <c r="D859" t="inlineStr">
        <is>
          <t>восемьсот пятьдесят семь</t>
        </is>
      </c>
      <c r="E859" t="inlineStr">
        <is>
          <t>тысяч</t>
        </is>
      </c>
      <c r="F859" t="inlineStr">
        <is>
          <t>копеек</t>
        </is>
      </c>
    </row>
    <row r="860">
      <c r="A860" t="n">
        <v>858</v>
      </c>
      <c r="B860" t="inlineStr">
        <is>
          <t>восемьсот пятьдесят восемь</t>
        </is>
      </c>
      <c r="C860" t="inlineStr">
        <is>
          <t>рублей</t>
        </is>
      </c>
      <c r="D860" t="inlineStr">
        <is>
          <t>восемьсот пятьдесят восемь</t>
        </is>
      </c>
      <c r="E860" t="inlineStr">
        <is>
          <t>тысяч</t>
        </is>
      </c>
      <c r="F860" t="inlineStr">
        <is>
          <t>копеек</t>
        </is>
      </c>
    </row>
    <row r="861">
      <c r="A861" t="n">
        <v>859</v>
      </c>
      <c r="B861" t="inlineStr">
        <is>
          <t>восемьсот пятьдесят девять</t>
        </is>
      </c>
      <c r="C861" t="inlineStr">
        <is>
          <t>рублей</t>
        </is>
      </c>
      <c r="D861" t="inlineStr">
        <is>
          <t>восемьсот пятьдесят девять</t>
        </is>
      </c>
      <c r="E861" t="inlineStr">
        <is>
          <t>тысяч</t>
        </is>
      </c>
      <c r="F861" t="inlineStr">
        <is>
          <t>копеек</t>
        </is>
      </c>
    </row>
    <row r="862">
      <c r="A862" t="n">
        <v>860</v>
      </c>
      <c r="B862" t="inlineStr">
        <is>
          <t>восемьсот шестьдесят</t>
        </is>
      </c>
      <c r="C862" t="inlineStr">
        <is>
          <t>рублей</t>
        </is>
      </c>
      <c r="D862" t="inlineStr">
        <is>
          <t>восемьсот шестьдесят</t>
        </is>
      </c>
      <c r="E862" t="inlineStr">
        <is>
          <t>тысяч</t>
        </is>
      </c>
      <c r="F862" t="inlineStr">
        <is>
          <t>копеек</t>
        </is>
      </c>
    </row>
    <row r="863">
      <c r="A863" t="n">
        <v>861</v>
      </c>
      <c r="B863" t="inlineStr">
        <is>
          <t>восемьсот шестьдесят один</t>
        </is>
      </c>
      <c r="C863" t="inlineStr">
        <is>
          <t>рубль</t>
        </is>
      </c>
      <c r="D863" t="inlineStr">
        <is>
          <t>восемьсот шестьдесят одна</t>
        </is>
      </c>
      <c r="E863" t="inlineStr">
        <is>
          <t>тысяча</t>
        </is>
      </c>
      <c r="F863" t="inlineStr">
        <is>
          <t>копейка</t>
        </is>
      </c>
    </row>
    <row r="864">
      <c r="A864" t="n">
        <v>862</v>
      </c>
      <c r="B864" t="inlineStr">
        <is>
          <t>восемьсот шестьдесят два</t>
        </is>
      </c>
      <c r="C864" t="inlineStr">
        <is>
          <t>рубля</t>
        </is>
      </c>
      <c r="D864" t="inlineStr">
        <is>
          <t>восемьсот шестьдесят две</t>
        </is>
      </c>
      <c r="E864" t="inlineStr">
        <is>
          <t>тысячи</t>
        </is>
      </c>
      <c r="F864" t="inlineStr">
        <is>
          <t>копейки</t>
        </is>
      </c>
    </row>
    <row r="865">
      <c r="A865" t="n">
        <v>863</v>
      </c>
      <c r="B865" t="inlineStr">
        <is>
          <t>восемьсот шестьдесят три</t>
        </is>
      </c>
      <c r="C865" t="inlineStr">
        <is>
          <t>рубля</t>
        </is>
      </c>
      <c r="D865" t="inlineStr">
        <is>
          <t>восемьсот шестьдесят три</t>
        </is>
      </c>
      <c r="E865" t="inlineStr">
        <is>
          <t>тысячи</t>
        </is>
      </c>
      <c r="F865" t="inlineStr">
        <is>
          <t>копейки</t>
        </is>
      </c>
    </row>
    <row r="866">
      <c r="A866" t="n">
        <v>864</v>
      </c>
      <c r="B866" t="inlineStr">
        <is>
          <t>восемьсот шестьдесят четыре</t>
        </is>
      </c>
      <c r="C866" t="inlineStr">
        <is>
          <t>рубля</t>
        </is>
      </c>
      <c r="D866" t="inlineStr">
        <is>
          <t>восемьсот шестьдесят четыре</t>
        </is>
      </c>
      <c r="E866" t="inlineStr">
        <is>
          <t>тысячи</t>
        </is>
      </c>
      <c r="F866" t="inlineStr">
        <is>
          <t>копейки</t>
        </is>
      </c>
    </row>
    <row r="867">
      <c r="A867" t="n">
        <v>865</v>
      </c>
      <c r="B867" t="inlineStr">
        <is>
          <t>восемьсот шестьдесят пять</t>
        </is>
      </c>
      <c r="C867" t="inlineStr">
        <is>
          <t>рублей</t>
        </is>
      </c>
      <c r="D867" t="inlineStr">
        <is>
          <t>восемьсот шестьдесят пять</t>
        </is>
      </c>
      <c r="E867" t="inlineStr">
        <is>
          <t>тысяч</t>
        </is>
      </c>
      <c r="F867" t="inlineStr">
        <is>
          <t>копеек</t>
        </is>
      </c>
    </row>
    <row r="868">
      <c r="A868" t="n">
        <v>866</v>
      </c>
      <c r="B868" t="inlineStr">
        <is>
          <t>восемьсот шестьдесят шесть</t>
        </is>
      </c>
      <c r="C868" t="inlineStr">
        <is>
          <t>рублей</t>
        </is>
      </c>
      <c r="D868" t="inlineStr">
        <is>
          <t>восемьсот шестьдесят шесть</t>
        </is>
      </c>
      <c r="E868" t="inlineStr">
        <is>
          <t>тысяч</t>
        </is>
      </c>
      <c r="F868" t="inlineStr">
        <is>
          <t>копеек</t>
        </is>
      </c>
    </row>
    <row r="869">
      <c r="A869" t="n">
        <v>867</v>
      </c>
      <c r="B869" t="inlineStr">
        <is>
          <t>восемьсот шестьдесят семь</t>
        </is>
      </c>
      <c r="C869" t="inlineStr">
        <is>
          <t>рублей</t>
        </is>
      </c>
      <c r="D869" t="inlineStr">
        <is>
          <t>восемьсот шестьдесят семь</t>
        </is>
      </c>
      <c r="E869" t="inlineStr">
        <is>
          <t>тысяч</t>
        </is>
      </c>
      <c r="F869" t="inlineStr">
        <is>
          <t>копеек</t>
        </is>
      </c>
    </row>
    <row r="870">
      <c r="A870" t="n">
        <v>868</v>
      </c>
      <c r="B870" t="inlineStr">
        <is>
          <t>восемьсот шестьдесят восемь</t>
        </is>
      </c>
      <c r="C870" t="inlineStr">
        <is>
          <t>рублей</t>
        </is>
      </c>
      <c r="D870" t="inlineStr">
        <is>
          <t>восемьсот шестьдесят восемь</t>
        </is>
      </c>
      <c r="E870" t="inlineStr">
        <is>
          <t>тысяч</t>
        </is>
      </c>
      <c r="F870" t="inlineStr">
        <is>
          <t>копеек</t>
        </is>
      </c>
    </row>
    <row r="871">
      <c r="A871" t="n">
        <v>869</v>
      </c>
      <c r="B871" t="inlineStr">
        <is>
          <t>восемьсот шестьдесят девять</t>
        </is>
      </c>
      <c r="C871" t="inlineStr">
        <is>
          <t>рублей</t>
        </is>
      </c>
      <c r="D871" t="inlineStr">
        <is>
          <t>восемьсот шестьдесят девять</t>
        </is>
      </c>
      <c r="E871" t="inlineStr">
        <is>
          <t>тысяч</t>
        </is>
      </c>
      <c r="F871" t="inlineStr">
        <is>
          <t>копеек</t>
        </is>
      </c>
    </row>
    <row r="872">
      <c r="A872" t="n">
        <v>870</v>
      </c>
      <c r="B872" t="inlineStr">
        <is>
          <t>восемьсот семьдесят</t>
        </is>
      </c>
      <c r="C872" t="inlineStr">
        <is>
          <t>рублей</t>
        </is>
      </c>
      <c r="D872" t="inlineStr">
        <is>
          <t>восемьсот семьдесят</t>
        </is>
      </c>
      <c r="E872" t="inlineStr">
        <is>
          <t>тысяч</t>
        </is>
      </c>
      <c r="F872" t="inlineStr">
        <is>
          <t>копеек</t>
        </is>
      </c>
    </row>
    <row r="873">
      <c r="A873" t="n">
        <v>871</v>
      </c>
      <c r="B873" t="inlineStr">
        <is>
          <t>восемьсот семьдесят один</t>
        </is>
      </c>
      <c r="C873" t="inlineStr">
        <is>
          <t>рубль</t>
        </is>
      </c>
      <c r="D873" t="inlineStr">
        <is>
          <t>восемьсот семьдесят одна</t>
        </is>
      </c>
      <c r="E873" t="inlineStr">
        <is>
          <t>тысяча</t>
        </is>
      </c>
      <c r="F873" t="inlineStr">
        <is>
          <t>копейка</t>
        </is>
      </c>
    </row>
    <row r="874">
      <c r="A874" t="n">
        <v>872</v>
      </c>
      <c r="B874" t="inlineStr">
        <is>
          <t>восемьсот семьдесят два</t>
        </is>
      </c>
      <c r="C874" t="inlineStr">
        <is>
          <t>рубля</t>
        </is>
      </c>
      <c r="D874" t="inlineStr">
        <is>
          <t>восемьсот семьдесят две</t>
        </is>
      </c>
      <c r="E874" t="inlineStr">
        <is>
          <t>тысячи</t>
        </is>
      </c>
      <c r="F874" t="inlineStr">
        <is>
          <t>копейки</t>
        </is>
      </c>
    </row>
    <row r="875">
      <c r="A875" t="n">
        <v>873</v>
      </c>
      <c r="B875" t="inlineStr">
        <is>
          <t>восемьсот семьдесят три</t>
        </is>
      </c>
      <c r="C875" t="inlineStr">
        <is>
          <t>рубля</t>
        </is>
      </c>
      <c r="D875" t="inlineStr">
        <is>
          <t>восемьсот семьдесят три</t>
        </is>
      </c>
      <c r="E875" t="inlineStr">
        <is>
          <t>тысячи</t>
        </is>
      </c>
      <c r="F875" t="inlineStr">
        <is>
          <t>копейки</t>
        </is>
      </c>
    </row>
    <row r="876">
      <c r="A876" t="n">
        <v>874</v>
      </c>
      <c r="B876" t="inlineStr">
        <is>
          <t>восемьсот семьдесят четыре</t>
        </is>
      </c>
      <c r="C876" t="inlineStr">
        <is>
          <t>рубля</t>
        </is>
      </c>
      <c r="D876" t="inlineStr">
        <is>
          <t>восемьсот семьдесят четыре</t>
        </is>
      </c>
      <c r="E876" t="inlineStr">
        <is>
          <t>тысячи</t>
        </is>
      </c>
      <c r="F876" t="inlineStr">
        <is>
          <t>копейки</t>
        </is>
      </c>
    </row>
    <row r="877">
      <c r="A877" t="n">
        <v>875</v>
      </c>
      <c r="B877" t="inlineStr">
        <is>
          <t>восемьсот семьдесят пять</t>
        </is>
      </c>
      <c r="C877" t="inlineStr">
        <is>
          <t>рублей</t>
        </is>
      </c>
      <c r="D877" t="inlineStr">
        <is>
          <t>восемьсот семьдесят пять</t>
        </is>
      </c>
      <c r="E877" t="inlineStr">
        <is>
          <t>тысяч</t>
        </is>
      </c>
      <c r="F877" t="inlineStr">
        <is>
          <t>копеек</t>
        </is>
      </c>
    </row>
    <row r="878">
      <c r="A878" t="n">
        <v>876</v>
      </c>
      <c r="B878" t="inlineStr">
        <is>
          <t>восемьсот семьдесят шесть</t>
        </is>
      </c>
      <c r="C878" t="inlineStr">
        <is>
          <t>рублей</t>
        </is>
      </c>
      <c r="D878" t="inlineStr">
        <is>
          <t>восемьсот семьдесят шесть</t>
        </is>
      </c>
      <c r="E878" t="inlineStr">
        <is>
          <t>тысяч</t>
        </is>
      </c>
      <c r="F878" t="inlineStr">
        <is>
          <t>копеек</t>
        </is>
      </c>
    </row>
    <row r="879">
      <c r="A879" t="n">
        <v>877</v>
      </c>
      <c r="B879" t="inlineStr">
        <is>
          <t>восемьсот семьдесят семь</t>
        </is>
      </c>
      <c r="C879" t="inlineStr">
        <is>
          <t>рублей</t>
        </is>
      </c>
      <c r="D879" t="inlineStr">
        <is>
          <t>восемьсот семьдесят семь</t>
        </is>
      </c>
      <c r="E879" t="inlineStr">
        <is>
          <t>тысяч</t>
        </is>
      </c>
      <c r="F879" t="inlineStr">
        <is>
          <t>копеек</t>
        </is>
      </c>
    </row>
    <row r="880">
      <c r="A880" t="n">
        <v>878</v>
      </c>
      <c r="B880" t="inlineStr">
        <is>
          <t>восемьсот семьдесят восемь</t>
        </is>
      </c>
      <c r="C880" t="inlineStr">
        <is>
          <t>рублей</t>
        </is>
      </c>
      <c r="D880" t="inlineStr">
        <is>
          <t>восемьсот семьдесят восемь</t>
        </is>
      </c>
      <c r="E880" t="inlineStr">
        <is>
          <t>тысяч</t>
        </is>
      </c>
      <c r="F880" t="inlineStr">
        <is>
          <t>копеек</t>
        </is>
      </c>
    </row>
    <row r="881">
      <c r="A881" t="n">
        <v>879</v>
      </c>
      <c r="B881" t="inlineStr">
        <is>
          <t>восемьсот семьдесят девять</t>
        </is>
      </c>
      <c r="C881" t="inlineStr">
        <is>
          <t>рублей</t>
        </is>
      </c>
      <c r="D881" t="inlineStr">
        <is>
          <t>восемьсот семьдесят девять</t>
        </is>
      </c>
      <c r="E881" t="inlineStr">
        <is>
          <t>тысяч</t>
        </is>
      </c>
      <c r="F881" t="inlineStr">
        <is>
          <t>копеек</t>
        </is>
      </c>
    </row>
    <row r="882">
      <c r="A882" t="n">
        <v>880</v>
      </c>
      <c r="B882" t="inlineStr">
        <is>
          <t>восемьсот восемьдесят</t>
        </is>
      </c>
      <c r="C882" t="inlineStr">
        <is>
          <t>рублей</t>
        </is>
      </c>
      <c r="D882" t="inlineStr">
        <is>
          <t>восемьсот восемьдесят</t>
        </is>
      </c>
      <c r="E882" t="inlineStr">
        <is>
          <t>тысяч</t>
        </is>
      </c>
      <c r="F882" t="inlineStr">
        <is>
          <t>копеек</t>
        </is>
      </c>
    </row>
    <row r="883">
      <c r="A883" t="n">
        <v>881</v>
      </c>
      <c r="B883" t="inlineStr">
        <is>
          <t>восемьсот восемьдесят один</t>
        </is>
      </c>
      <c r="C883" t="inlineStr">
        <is>
          <t>рубль</t>
        </is>
      </c>
      <c r="D883" t="inlineStr">
        <is>
          <t>восемьсот восемьдесят одна</t>
        </is>
      </c>
      <c r="E883" t="inlineStr">
        <is>
          <t>тысяча</t>
        </is>
      </c>
      <c r="F883" t="inlineStr">
        <is>
          <t>копейка</t>
        </is>
      </c>
    </row>
    <row r="884">
      <c r="A884" t="n">
        <v>882</v>
      </c>
      <c r="B884" t="inlineStr">
        <is>
          <t>восемьсот восемьдесят два</t>
        </is>
      </c>
      <c r="C884" t="inlineStr">
        <is>
          <t>рубля</t>
        </is>
      </c>
      <c r="D884" t="inlineStr">
        <is>
          <t>восемьсот восемьдесят две</t>
        </is>
      </c>
      <c r="E884" t="inlineStr">
        <is>
          <t>тысячи</t>
        </is>
      </c>
      <c r="F884" t="inlineStr">
        <is>
          <t>копейки</t>
        </is>
      </c>
    </row>
    <row r="885">
      <c r="A885" t="n">
        <v>883</v>
      </c>
      <c r="B885" t="inlineStr">
        <is>
          <t>восемьсот восемьдесят три</t>
        </is>
      </c>
      <c r="C885" t="inlineStr">
        <is>
          <t>рубля</t>
        </is>
      </c>
      <c r="D885" t="inlineStr">
        <is>
          <t>восемьсот восемьдесят три</t>
        </is>
      </c>
      <c r="E885" t="inlineStr">
        <is>
          <t>тысячи</t>
        </is>
      </c>
      <c r="F885" t="inlineStr">
        <is>
          <t>копейки</t>
        </is>
      </c>
    </row>
    <row r="886">
      <c r="A886" t="n">
        <v>884</v>
      </c>
      <c r="B886" t="inlineStr">
        <is>
          <t>восемьсот восемьдесят четыре</t>
        </is>
      </c>
      <c r="C886" t="inlineStr">
        <is>
          <t>рубля</t>
        </is>
      </c>
      <c r="D886" t="inlineStr">
        <is>
          <t>восемьсот восемьдесят четыре</t>
        </is>
      </c>
      <c r="E886" t="inlineStr">
        <is>
          <t>тысячи</t>
        </is>
      </c>
      <c r="F886" t="inlineStr">
        <is>
          <t>копейки</t>
        </is>
      </c>
    </row>
    <row r="887">
      <c r="A887" t="n">
        <v>885</v>
      </c>
      <c r="B887" t="inlineStr">
        <is>
          <t>восемьсот восемьдесят пять</t>
        </is>
      </c>
      <c r="C887" t="inlineStr">
        <is>
          <t>рублей</t>
        </is>
      </c>
      <c r="D887" t="inlineStr">
        <is>
          <t>восемьсот восемьдесят пять</t>
        </is>
      </c>
      <c r="E887" t="inlineStr">
        <is>
          <t>тысяч</t>
        </is>
      </c>
      <c r="F887" t="inlineStr">
        <is>
          <t>копеек</t>
        </is>
      </c>
    </row>
    <row r="888">
      <c r="A888" t="n">
        <v>886</v>
      </c>
      <c r="B888" t="inlineStr">
        <is>
          <t>восемьсот восемьдесят шесть</t>
        </is>
      </c>
      <c r="C888" t="inlineStr">
        <is>
          <t>рублей</t>
        </is>
      </c>
      <c r="D888" t="inlineStr">
        <is>
          <t>восемьсот восемьдесят шесть</t>
        </is>
      </c>
      <c r="E888" t="inlineStr">
        <is>
          <t>тысяч</t>
        </is>
      </c>
      <c r="F888" t="inlineStr">
        <is>
          <t>копеек</t>
        </is>
      </c>
    </row>
    <row r="889">
      <c r="A889" t="n">
        <v>887</v>
      </c>
      <c r="B889" t="inlineStr">
        <is>
          <t>восемьсот восемьдесят семь</t>
        </is>
      </c>
      <c r="C889" t="inlineStr">
        <is>
          <t>рублей</t>
        </is>
      </c>
      <c r="D889" t="inlineStr">
        <is>
          <t>восемьсот восемьдесят семь</t>
        </is>
      </c>
      <c r="E889" t="inlineStr">
        <is>
          <t>тысяч</t>
        </is>
      </c>
      <c r="F889" t="inlineStr">
        <is>
          <t>копеек</t>
        </is>
      </c>
    </row>
    <row r="890">
      <c r="A890" t="n">
        <v>888</v>
      </c>
      <c r="B890" t="inlineStr">
        <is>
          <t>восемьсот восемьдесят восемь</t>
        </is>
      </c>
      <c r="C890" t="inlineStr">
        <is>
          <t>рублей</t>
        </is>
      </c>
      <c r="D890" t="inlineStr">
        <is>
          <t>восемьсот восемьдесят восемь</t>
        </is>
      </c>
      <c r="E890" t="inlineStr">
        <is>
          <t>тысяч</t>
        </is>
      </c>
      <c r="F890" t="inlineStr">
        <is>
          <t>копеек</t>
        </is>
      </c>
    </row>
    <row r="891">
      <c r="A891" t="n">
        <v>889</v>
      </c>
      <c r="B891" t="inlineStr">
        <is>
          <t>восемьсот восемьдесят девять</t>
        </is>
      </c>
      <c r="C891" t="inlineStr">
        <is>
          <t>рублей</t>
        </is>
      </c>
      <c r="D891" t="inlineStr">
        <is>
          <t>восемьсот восемьдесят девять</t>
        </is>
      </c>
      <c r="E891" t="inlineStr">
        <is>
          <t>тысяч</t>
        </is>
      </c>
      <c r="F891" t="inlineStr">
        <is>
          <t>копеек</t>
        </is>
      </c>
    </row>
    <row r="892">
      <c r="A892" t="n">
        <v>890</v>
      </c>
      <c r="B892" t="inlineStr">
        <is>
          <t>восемьсот девяносто</t>
        </is>
      </c>
      <c r="C892" t="inlineStr">
        <is>
          <t>рублей</t>
        </is>
      </c>
      <c r="D892" t="inlineStr">
        <is>
          <t>восемьсот девяносто</t>
        </is>
      </c>
      <c r="E892" t="inlineStr">
        <is>
          <t>тысяч</t>
        </is>
      </c>
      <c r="F892" t="inlineStr">
        <is>
          <t>копеек</t>
        </is>
      </c>
    </row>
    <row r="893">
      <c r="A893" t="n">
        <v>891</v>
      </c>
      <c r="B893" t="inlineStr">
        <is>
          <t>восемьсот девяносто один</t>
        </is>
      </c>
      <c r="C893" t="inlineStr">
        <is>
          <t>рубль</t>
        </is>
      </c>
      <c r="D893" t="inlineStr">
        <is>
          <t>восемьсот девяносто одна</t>
        </is>
      </c>
      <c r="E893" t="inlineStr">
        <is>
          <t>тысяча</t>
        </is>
      </c>
      <c r="F893" t="inlineStr">
        <is>
          <t>копейка</t>
        </is>
      </c>
    </row>
    <row r="894">
      <c r="A894" t="n">
        <v>892</v>
      </c>
      <c r="B894" t="inlineStr">
        <is>
          <t>восемьсот девяносто два</t>
        </is>
      </c>
      <c r="C894" t="inlineStr">
        <is>
          <t>рубля</t>
        </is>
      </c>
      <c r="D894" t="inlineStr">
        <is>
          <t>восемьсот девяносто две</t>
        </is>
      </c>
      <c r="E894" t="inlineStr">
        <is>
          <t>тысячи</t>
        </is>
      </c>
      <c r="F894" t="inlineStr">
        <is>
          <t>копейки</t>
        </is>
      </c>
    </row>
    <row r="895">
      <c r="A895" t="n">
        <v>893</v>
      </c>
      <c r="B895" t="inlineStr">
        <is>
          <t>восемьсот девяносто три</t>
        </is>
      </c>
      <c r="C895" t="inlineStr">
        <is>
          <t>рубля</t>
        </is>
      </c>
      <c r="D895" t="inlineStr">
        <is>
          <t>восемьсот девяносто три</t>
        </is>
      </c>
      <c r="E895" t="inlineStr">
        <is>
          <t>тысячи</t>
        </is>
      </c>
      <c r="F895" t="inlineStr">
        <is>
          <t>копейки</t>
        </is>
      </c>
    </row>
    <row r="896">
      <c r="A896" t="n">
        <v>894</v>
      </c>
      <c r="B896" t="inlineStr">
        <is>
          <t>восемьсот девяносто четыре</t>
        </is>
      </c>
      <c r="C896" t="inlineStr">
        <is>
          <t>рубля</t>
        </is>
      </c>
      <c r="D896" t="inlineStr">
        <is>
          <t>восемьсот девяносто четыре</t>
        </is>
      </c>
      <c r="E896" t="inlineStr">
        <is>
          <t>тысячи</t>
        </is>
      </c>
      <c r="F896" t="inlineStr">
        <is>
          <t>копейки</t>
        </is>
      </c>
    </row>
    <row r="897">
      <c r="A897" t="n">
        <v>895</v>
      </c>
      <c r="B897" t="inlineStr">
        <is>
          <t>восемьсот девяносто пять</t>
        </is>
      </c>
      <c r="C897" t="inlineStr">
        <is>
          <t>рублей</t>
        </is>
      </c>
      <c r="D897" t="inlineStr">
        <is>
          <t>восемьсот девяносто пять</t>
        </is>
      </c>
      <c r="E897" t="inlineStr">
        <is>
          <t>тысяч</t>
        </is>
      </c>
      <c r="F897" t="inlineStr">
        <is>
          <t>копеек</t>
        </is>
      </c>
    </row>
    <row r="898">
      <c r="A898" t="n">
        <v>896</v>
      </c>
      <c r="B898" t="inlineStr">
        <is>
          <t>восемьсот девяносто шесть</t>
        </is>
      </c>
      <c r="C898" t="inlineStr">
        <is>
          <t>рублей</t>
        </is>
      </c>
      <c r="D898" t="inlineStr">
        <is>
          <t>восемьсот девяносто шесть</t>
        </is>
      </c>
      <c r="E898" t="inlineStr">
        <is>
          <t>тысяч</t>
        </is>
      </c>
      <c r="F898" t="inlineStr">
        <is>
          <t>копеек</t>
        </is>
      </c>
    </row>
    <row r="899">
      <c r="A899" t="n">
        <v>897</v>
      </c>
      <c r="B899" t="inlineStr">
        <is>
          <t>восемьсот девяносто семь</t>
        </is>
      </c>
      <c r="C899" t="inlineStr">
        <is>
          <t>рублей</t>
        </is>
      </c>
      <c r="D899" t="inlineStr">
        <is>
          <t>восемьсот девяносто семь</t>
        </is>
      </c>
      <c r="E899" t="inlineStr">
        <is>
          <t>тысяч</t>
        </is>
      </c>
      <c r="F899" t="inlineStr">
        <is>
          <t>копеек</t>
        </is>
      </c>
    </row>
    <row r="900">
      <c r="A900" t="n">
        <v>898</v>
      </c>
      <c r="B900" t="inlineStr">
        <is>
          <t>восемьсот девяносто восемь</t>
        </is>
      </c>
      <c r="C900" t="inlineStr">
        <is>
          <t>рублей</t>
        </is>
      </c>
      <c r="D900" t="inlineStr">
        <is>
          <t>восемьсот девяносто восемь</t>
        </is>
      </c>
      <c r="E900" t="inlineStr">
        <is>
          <t>тысяч</t>
        </is>
      </c>
      <c r="F900" t="inlineStr">
        <is>
          <t>копеек</t>
        </is>
      </c>
    </row>
    <row r="901">
      <c r="A901" t="n">
        <v>899</v>
      </c>
      <c r="B901" t="inlineStr">
        <is>
          <t>восемьсот девяносто девять</t>
        </is>
      </c>
      <c r="C901" t="inlineStr">
        <is>
          <t>рублей</t>
        </is>
      </c>
      <c r="D901" t="inlineStr">
        <is>
          <t>восемьсот девяносто девять</t>
        </is>
      </c>
      <c r="E901" t="inlineStr">
        <is>
          <t>тысяч</t>
        </is>
      </c>
      <c r="F901" t="inlineStr">
        <is>
          <t>копеек</t>
        </is>
      </c>
    </row>
    <row r="902">
      <c r="A902" t="n">
        <v>900</v>
      </c>
      <c r="B902" t="inlineStr">
        <is>
          <t>девятьсот</t>
        </is>
      </c>
      <c r="C902" t="inlineStr">
        <is>
          <t>рублей</t>
        </is>
      </c>
      <c r="D902" t="inlineStr">
        <is>
          <t>девятьсот</t>
        </is>
      </c>
      <c r="E902" t="inlineStr">
        <is>
          <t>тысяч</t>
        </is>
      </c>
      <c r="F902" t="inlineStr">
        <is>
          <t>копеек</t>
        </is>
      </c>
    </row>
    <row r="903">
      <c r="A903" t="n">
        <v>901</v>
      </c>
      <c r="B903" t="inlineStr">
        <is>
          <t>девятьсот один</t>
        </is>
      </c>
      <c r="C903" t="inlineStr">
        <is>
          <t>рубль</t>
        </is>
      </c>
      <c r="D903" t="inlineStr">
        <is>
          <t>девятьсот одна</t>
        </is>
      </c>
      <c r="E903" t="inlineStr">
        <is>
          <t>тысяча</t>
        </is>
      </c>
      <c r="F903" t="inlineStr">
        <is>
          <t>копейка</t>
        </is>
      </c>
    </row>
    <row r="904">
      <c r="A904" t="n">
        <v>902</v>
      </c>
      <c r="B904" t="inlineStr">
        <is>
          <t>девятьсот два</t>
        </is>
      </c>
      <c r="C904" t="inlineStr">
        <is>
          <t>рубля</t>
        </is>
      </c>
      <c r="D904" t="inlineStr">
        <is>
          <t>девятьсот две</t>
        </is>
      </c>
      <c r="E904" t="inlineStr">
        <is>
          <t>тысячи</t>
        </is>
      </c>
      <c r="F904" t="inlineStr">
        <is>
          <t>копейки</t>
        </is>
      </c>
    </row>
    <row r="905">
      <c r="A905" t="n">
        <v>903</v>
      </c>
      <c r="B905" t="inlineStr">
        <is>
          <t>девятьсот три</t>
        </is>
      </c>
      <c r="C905" t="inlineStr">
        <is>
          <t>рубля</t>
        </is>
      </c>
      <c r="D905" t="inlineStr">
        <is>
          <t>девятьсот три</t>
        </is>
      </c>
      <c r="E905" t="inlineStr">
        <is>
          <t>тысячи</t>
        </is>
      </c>
      <c r="F905" t="inlineStr">
        <is>
          <t>копейки</t>
        </is>
      </c>
    </row>
    <row r="906">
      <c r="A906" t="n">
        <v>904</v>
      </c>
      <c r="B906" t="inlineStr">
        <is>
          <t>девятьсот четыре</t>
        </is>
      </c>
      <c r="C906" t="inlineStr">
        <is>
          <t>рубля</t>
        </is>
      </c>
      <c r="D906" t="inlineStr">
        <is>
          <t>девятьсот четыре</t>
        </is>
      </c>
      <c r="E906" t="inlineStr">
        <is>
          <t>тысячи</t>
        </is>
      </c>
      <c r="F906" t="inlineStr">
        <is>
          <t>копейки</t>
        </is>
      </c>
    </row>
    <row r="907">
      <c r="A907" t="n">
        <v>905</v>
      </c>
      <c r="B907" t="inlineStr">
        <is>
          <t>девятьсот пять</t>
        </is>
      </c>
      <c r="C907" t="inlineStr">
        <is>
          <t>рублей</t>
        </is>
      </c>
      <c r="D907" t="inlineStr">
        <is>
          <t>девятьсот пять</t>
        </is>
      </c>
      <c r="E907" t="inlineStr">
        <is>
          <t>тысяч</t>
        </is>
      </c>
      <c r="F907" t="inlineStr">
        <is>
          <t>копеек</t>
        </is>
      </c>
    </row>
    <row r="908">
      <c r="A908" t="n">
        <v>906</v>
      </c>
      <c r="B908" t="inlineStr">
        <is>
          <t>девятьсот шесть</t>
        </is>
      </c>
      <c r="C908" t="inlineStr">
        <is>
          <t>рублей</t>
        </is>
      </c>
      <c r="D908" t="inlineStr">
        <is>
          <t>девятьсот шесть</t>
        </is>
      </c>
      <c r="E908" t="inlineStr">
        <is>
          <t>тысяч</t>
        </is>
      </c>
      <c r="F908" t="inlineStr">
        <is>
          <t>копеек</t>
        </is>
      </c>
    </row>
    <row r="909">
      <c r="A909" t="n">
        <v>907</v>
      </c>
      <c r="B909" t="inlineStr">
        <is>
          <t>девятьсот семь</t>
        </is>
      </c>
      <c r="C909" t="inlineStr">
        <is>
          <t>рублей</t>
        </is>
      </c>
      <c r="D909" t="inlineStr">
        <is>
          <t>девятьсот семь</t>
        </is>
      </c>
      <c r="E909" t="inlineStr">
        <is>
          <t>тысяч</t>
        </is>
      </c>
      <c r="F909" t="inlineStr">
        <is>
          <t>копеек</t>
        </is>
      </c>
    </row>
    <row r="910">
      <c r="A910" t="n">
        <v>908</v>
      </c>
      <c r="B910" t="inlineStr">
        <is>
          <t>девятьсот восемь</t>
        </is>
      </c>
      <c r="C910" t="inlineStr">
        <is>
          <t>рублей</t>
        </is>
      </c>
      <c r="D910" t="inlineStr">
        <is>
          <t>девятьсот восемь</t>
        </is>
      </c>
      <c r="E910" t="inlineStr">
        <is>
          <t>тысяч</t>
        </is>
      </c>
      <c r="F910" t="inlineStr">
        <is>
          <t>копеек</t>
        </is>
      </c>
    </row>
    <row r="911">
      <c r="A911" t="n">
        <v>909</v>
      </c>
      <c r="B911" t="inlineStr">
        <is>
          <t>девятьсот девять</t>
        </is>
      </c>
      <c r="C911" t="inlineStr">
        <is>
          <t>рублей</t>
        </is>
      </c>
      <c r="D911" t="inlineStr">
        <is>
          <t>девятьсот девять</t>
        </is>
      </c>
      <c r="E911" t="inlineStr">
        <is>
          <t>тысяч</t>
        </is>
      </c>
      <c r="F911" t="inlineStr">
        <is>
          <t>копеек</t>
        </is>
      </c>
    </row>
    <row r="912">
      <c r="A912" t="n">
        <v>910</v>
      </c>
      <c r="B912" t="inlineStr">
        <is>
          <t>девятьсот десять</t>
        </is>
      </c>
      <c r="C912" t="inlineStr">
        <is>
          <t>рублей</t>
        </is>
      </c>
      <c r="D912" t="inlineStr">
        <is>
          <t>девятьсот десять</t>
        </is>
      </c>
      <c r="E912" t="inlineStr">
        <is>
          <t>тысяч</t>
        </is>
      </c>
      <c r="F912" t="inlineStr">
        <is>
          <t>копеек</t>
        </is>
      </c>
    </row>
    <row r="913">
      <c r="A913" t="n">
        <v>911</v>
      </c>
      <c r="B913" t="inlineStr">
        <is>
          <t>девятьсот одиннадцать</t>
        </is>
      </c>
      <c r="C913" t="inlineStr">
        <is>
          <t>рублей</t>
        </is>
      </c>
      <c r="D913" t="inlineStr">
        <is>
          <t>девятьсот одиннадцать</t>
        </is>
      </c>
      <c r="E913" t="inlineStr">
        <is>
          <t>тысяч</t>
        </is>
      </c>
      <c r="F913" t="inlineStr">
        <is>
          <t>копеек</t>
        </is>
      </c>
    </row>
    <row r="914">
      <c r="A914" t="n">
        <v>912</v>
      </c>
      <c r="B914" t="inlineStr">
        <is>
          <t>девятьсот двенадцать</t>
        </is>
      </c>
      <c r="C914" t="inlineStr">
        <is>
          <t>рублей</t>
        </is>
      </c>
      <c r="D914" t="inlineStr">
        <is>
          <t>девятьсот двенадцать</t>
        </is>
      </c>
      <c r="E914" t="inlineStr">
        <is>
          <t>тысяч</t>
        </is>
      </c>
      <c r="F914" t="inlineStr">
        <is>
          <t>копеек</t>
        </is>
      </c>
    </row>
    <row r="915">
      <c r="A915" t="n">
        <v>913</v>
      </c>
      <c r="B915" t="inlineStr">
        <is>
          <t>девятьсот тринадцать</t>
        </is>
      </c>
      <c r="C915" t="inlineStr">
        <is>
          <t>рублей</t>
        </is>
      </c>
      <c r="D915" t="inlineStr">
        <is>
          <t>девятьсот тринадцать</t>
        </is>
      </c>
      <c r="E915" t="inlineStr">
        <is>
          <t>тысяч</t>
        </is>
      </c>
      <c r="F915" t="inlineStr">
        <is>
          <t>копеек</t>
        </is>
      </c>
    </row>
    <row r="916">
      <c r="A916" t="n">
        <v>914</v>
      </c>
      <c r="B916" t="inlineStr">
        <is>
          <t>девятьсот четырнадцать</t>
        </is>
      </c>
      <c r="C916" t="inlineStr">
        <is>
          <t>рублей</t>
        </is>
      </c>
      <c r="D916" t="inlineStr">
        <is>
          <t>девятьсот четырнадцать</t>
        </is>
      </c>
      <c r="E916" t="inlineStr">
        <is>
          <t>тысяч</t>
        </is>
      </c>
      <c r="F916" t="inlineStr">
        <is>
          <t>копеек</t>
        </is>
      </c>
    </row>
    <row r="917">
      <c r="A917" t="n">
        <v>915</v>
      </c>
      <c r="B917" t="inlineStr">
        <is>
          <t>девятьсот пятнадцать</t>
        </is>
      </c>
      <c r="C917" t="inlineStr">
        <is>
          <t>рублей</t>
        </is>
      </c>
      <c r="D917" t="inlineStr">
        <is>
          <t>девятьсот пятнадцать</t>
        </is>
      </c>
      <c r="E917" t="inlineStr">
        <is>
          <t>тысяч</t>
        </is>
      </c>
      <c r="F917" t="inlineStr">
        <is>
          <t>копеек</t>
        </is>
      </c>
    </row>
    <row r="918">
      <c r="A918" t="n">
        <v>916</v>
      </c>
      <c r="B918" t="inlineStr">
        <is>
          <t>девятьсот шестнадцать</t>
        </is>
      </c>
      <c r="C918" t="inlineStr">
        <is>
          <t>рублей</t>
        </is>
      </c>
      <c r="D918" t="inlineStr">
        <is>
          <t>девятьсот шестнадцать</t>
        </is>
      </c>
      <c r="E918" t="inlineStr">
        <is>
          <t>тысяч</t>
        </is>
      </c>
      <c r="F918" t="inlineStr">
        <is>
          <t>копеек</t>
        </is>
      </c>
    </row>
    <row r="919">
      <c r="A919" t="n">
        <v>917</v>
      </c>
      <c r="B919" t="inlineStr">
        <is>
          <t>девятьсот семнадцать</t>
        </is>
      </c>
      <c r="C919" t="inlineStr">
        <is>
          <t>рублей</t>
        </is>
      </c>
      <c r="D919" t="inlineStr">
        <is>
          <t>девятьсот семнадцать</t>
        </is>
      </c>
      <c r="E919" t="inlineStr">
        <is>
          <t>тысяч</t>
        </is>
      </c>
      <c r="F919" t="inlineStr">
        <is>
          <t>копеек</t>
        </is>
      </c>
    </row>
    <row r="920">
      <c r="A920" t="n">
        <v>918</v>
      </c>
      <c r="B920" t="inlineStr">
        <is>
          <t>девятьсот восемнадцать</t>
        </is>
      </c>
      <c r="C920" t="inlineStr">
        <is>
          <t>рублей</t>
        </is>
      </c>
      <c r="D920" t="inlineStr">
        <is>
          <t>девятьсот восемнадцать</t>
        </is>
      </c>
      <c r="E920" t="inlineStr">
        <is>
          <t>тысяч</t>
        </is>
      </c>
      <c r="F920" t="inlineStr">
        <is>
          <t>копеек</t>
        </is>
      </c>
    </row>
    <row r="921">
      <c r="A921" t="n">
        <v>919</v>
      </c>
      <c r="B921" t="inlineStr">
        <is>
          <t>девятьсот девятнадцать</t>
        </is>
      </c>
      <c r="C921" t="inlineStr">
        <is>
          <t>рублей</t>
        </is>
      </c>
      <c r="D921" t="inlineStr">
        <is>
          <t>девятьсот девятнадцать</t>
        </is>
      </c>
      <c r="E921" t="inlineStr">
        <is>
          <t>тысяч</t>
        </is>
      </c>
      <c r="F921" t="inlineStr">
        <is>
          <t>копеек</t>
        </is>
      </c>
    </row>
    <row r="922">
      <c r="A922" t="n">
        <v>920</v>
      </c>
      <c r="B922" t="inlineStr">
        <is>
          <t>девятьсот двадцать</t>
        </is>
      </c>
      <c r="C922" t="inlineStr">
        <is>
          <t>рублей</t>
        </is>
      </c>
      <c r="D922" t="inlineStr">
        <is>
          <t>девятьсот двадцать</t>
        </is>
      </c>
      <c r="E922" t="inlineStr">
        <is>
          <t>тысяч</t>
        </is>
      </c>
      <c r="F922" t="inlineStr">
        <is>
          <t>копеек</t>
        </is>
      </c>
    </row>
    <row r="923">
      <c r="A923" t="n">
        <v>921</v>
      </c>
      <c r="B923" t="inlineStr">
        <is>
          <t>девятьсот двадцать один</t>
        </is>
      </c>
      <c r="C923" t="inlineStr">
        <is>
          <t>рубль</t>
        </is>
      </c>
      <c r="D923" t="inlineStr">
        <is>
          <t>девятьсот двадцать одна</t>
        </is>
      </c>
      <c r="E923" t="inlineStr">
        <is>
          <t>тысяча</t>
        </is>
      </c>
      <c r="F923" t="inlineStr">
        <is>
          <t>копейка</t>
        </is>
      </c>
    </row>
    <row r="924">
      <c r="A924" t="n">
        <v>922</v>
      </c>
      <c r="B924" t="inlineStr">
        <is>
          <t>девятьсот двадцать два</t>
        </is>
      </c>
      <c r="C924" t="inlineStr">
        <is>
          <t>рубля</t>
        </is>
      </c>
      <c r="D924" t="inlineStr">
        <is>
          <t>девятьсот двадцать две</t>
        </is>
      </c>
      <c r="E924" t="inlineStr">
        <is>
          <t>тысячи</t>
        </is>
      </c>
      <c r="F924" t="inlineStr">
        <is>
          <t>копейки</t>
        </is>
      </c>
    </row>
    <row r="925">
      <c r="A925" t="n">
        <v>923</v>
      </c>
      <c r="B925" t="inlineStr">
        <is>
          <t>девятьсот двадцать три</t>
        </is>
      </c>
      <c r="C925" t="inlineStr">
        <is>
          <t>рубля</t>
        </is>
      </c>
      <c r="D925" t="inlineStr">
        <is>
          <t>девятьсот двадцать три</t>
        </is>
      </c>
      <c r="E925" t="inlineStr">
        <is>
          <t>тысячи</t>
        </is>
      </c>
      <c r="F925" t="inlineStr">
        <is>
          <t>копейки</t>
        </is>
      </c>
    </row>
    <row r="926">
      <c r="A926" t="n">
        <v>924</v>
      </c>
      <c r="B926" t="inlineStr">
        <is>
          <t>девятьсот двадцать четыре</t>
        </is>
      </c>
      <c r="C926" t="inlineStr">
        <is>
          <t>рубля</t>
        </is>
      </c>
      <c r="D926" t="inlineStr">
        <is>
          <t>девятьсот двадцать четыре</t>
        </is>
      </c>
      <c r="E926" t="inlineStr">
        <is>
          <t>тысячи</t>
        </is>
      </c>
      <c r="F926" t="inlineStr">
        <is>
          <t>копейки</t>
        </is>
      </c>
    </row>
    <row r="927">
      <c r="A927" t="n">
        <v>925</v>
      </c>
      <c r="B927" t="inlineStr">
        <is>
          <t>девятьсот двадцать пять</t>
        </is>
      </c>
      <c r="C927" t="inlineStr">
        <is>
          <t>рублей</t>
        </is>
      </c>
      <c r="D927" t="inlineStr">
        <is>
          <t>девятьсот двадцать пять</t>
        </is>
      </c>
      <c r="E927" t="inlineStr">
        <is>
          <t>тысяч</t>
        </is>
      </c>
      <c r="F927" t="inlineStr">
        <is>
          <t>копеек</t>
        </is>
      </c>
    </row>
    <row r="928">
      <c r="A928" t="n">
        <v>926</v>
      </c>
      <c r="B928" t="inlineStr">
        <is>
          <t>девятьсот двадцать шесть</t>
        </is>
      </c>
      <c r="C928" t="inlineStr">
        <is>
          <t>рублей</t>
        </is>
      </c>
      <c r="D928" t="inlineStr">
        <is>
          <t>девятьсот двадцать шесть</t>
        </is>
      </c>
      <c r="E928" t="inlineStr">
        <is>
          <t>тысяч</t>
        </is>
      </c>
      <c r="F928" t="inlineStr">
        <is>
          <t>копеек</t>
        </is>
      </c>
    </row>
    <row r="929">
      <c r="A929" t="n">
        <v>927</v>
      </c>
      <c r="B929" t="inlineStr">
        <is>
          <t>девятьсот двадцать семь</t>
        </is>
      </c>
      <c r="C929" t="inlineStr">
        <is>
          <t>рублей</t>
        </is>
      </c>
      <c r="D929" t="inlineStr">
        <is>
          <t>девятьсот двадцать семь</t>
        </is>
      </c>
      <c r="E929" t="inlineStr">
        <is>
          <t>тысяч</t>
        </is>
      </c>
      <c r="F929" t="inlineStr">
        <is>
          <t>копеек</t>
        </is>
      </c>
    </row>
    <row r="930">
      <c r="A930" t="n">
        <v>928</v>
      </c>
      <c r="B930" t="inlineStr">
        <is>
          <t>девятьсот двадцать восемь</t>
        </is>
      </c>
      <c r="C930" t="inlineStr">
        <is>
          <t>рублей</t>
        </is>
      </c>
      <c r="D930" t="inlineStr">
        <is>
          <t>девятьсот двадцать восемь</t>
        </is>
      </c>
      <c r="E930" t="inlineStr">
        <is>
          <t>тысяч</t>
        </is>
      </c>
      <c r="F930" t="inlineStr">
        <is>
          <t>копеек</t>
        </is>
      </c>
    </row>
    <row r="931">
      <c r="A931" t="n">
        <v>929</v>
      </c>
      <c r="B931" t="inlineStr">
        <is>
          <t>девятьсот двадцать девять</t>
        </is>
      </c>
      <c r="C931" t="inlineStr">
        <is>
          <t>рублей</t>
        </is>
      </c>
      <c r="D931" t="inlineStr">
        <is>
          <t>девятьсот двадцать девять</t>
        </is>
      </c>
      <c r="E931" t="inlineStr">
        <is>
          <t>тысяч</t>
        </is>
      </c>
      <c r="F931" t="inlineStr">
        <is>
          <t>копеек</t>
        </is>
      </c>
    </row>
    <row r="932">
      <c r="A932" t="n">
        <v>930</v>
      </c>
      <c r="B932" t="inlineStr">
        <is>
          <t>девятьсот тридцать</t>
        </is>
      </c>
      <c r="C932" t="inlineStr">
        <is>
          <t>рублей</t>
        </is>
      </c>
      <c r="D932" t="inlineStr">
        <is>
          <t>девятьсот тридцать</t>
        </is>
      </c>
      <c r="E932" t="inlineStr">
        <is>
          <t>тысяч</t>
        </is>
      </c>
      <c r="F932" t="inlineStr">
        <is>
          <t>копеек</t>
        </is>
      </c>
    </row>
    <row r="933">
      <c r="A933" t="n">
        <v>931</v>
      </c>
      <c r="B933" t="inlineStr">
        <is>
          <t>девятьсот тридцать один</t>
        </is>
      </c>
      <c r="C933" t="inlineStr">
        <is>
          <t>рубль</t>
        </is>
      </c>
      <c r="D933" t="inlineStr">
        <is>
          <t>девятьсот тридцать одна</t>
        </is>
      </c>
      <c r="E933" t="inlineStr">
        <is>
          <t>тысяча</t>
        </is>
      </c>
      <c r="F933" t="inlineStr">
        <is>
          <t>копейка</t>
        </is>
      </c>
    </row>
    <row r="934">
      <c r="A934" t="n">
        <v>932</v>
      </c>
      <c r="B934" t="inlineStr">
        <is>
          <t>девятьсот тридцать два</t>
        </is>
      </c>
      <c r="C934" t="inlineStr">
        <is>
          <t>рубля</t>
        </is>
      </c>
      <c r="D934" t="inlineStr">
        <is>
          <t>девятьсот тридцать две</t>
        </is>
      </c>
      <c r="E934" t="inlineStr">
        <is>
          <t>тысячи</t>
        </is>
      </c>
      <c r="F934" t="inlineStr">
        <is>
          <t>копейки</t>
        </is>
      </c>
    </row>
    <row r="935">
      <c r="A935" t="n">
        <v>933</v>
      </c>
      <c r="B935" t="inlineStr">
        <is>
          <t>девятьсот тридцать три</t>
        </is>
      </c>
      <c r="C935" t="inlineStr">
        <is>
          <t>рубля</t>
        </is>
      </c>
      <c r="D935" t="inlineStr">
        <is>
          <t>девятьсот тридцать три</t>
        </is>
      </c>
      <c r="E935" t="inlineStr">
        <is>
          <t>тысячи</t>
        </is>
      </c>
      <c r="F935" t="inlineStr">
        <is>
          <t>копейки</t>
        </is>
      </c>
    </row>
    <row r="936">
      <c r="A936" t="n">
        <v>934</v>
      </c>
      <c r="B936" t="inlineStr">
        <is>
          <t>девятьсот тридцать четыре</t>
        </is>
      </c>
      <c r="C936" t="inlineStr">
        <is>
          <t>рубля</t>
        </is>
      </c>
      <c r="D936" t="inlineStr">
        <is>
          <t>девятьсот тридцать четыре</t>
        </is>
      </c>
      <c r="E936" t="inlineStr">
        <is>
          <t>тысячи</t>
        </is>
      </c>
      <c r="F936" t="inlineStr">
        <is>
          <t>копейки</t>
        </is>
      </c>
    </row>
    <row r="937">
      <c r="A937" t="n">
        <v>935</v>
      </c>
      <c r="B937" t="inlineStr">
        <is>
          <t>девятьсот тридцать пять</t>
        </is>
      </c>
      <c r="C937" t="inlineStr">
        <is>
          <t>рублей</t>
        </is>
      </c>
      <c r="D937" t="inlineStr">
        <is>
          <t>девятьсот тридцать пять</t>
        </is>
      </c>
      <c r="E937" t="inlineStr">
        <is>
          <t>тысяч</t>
        </is>
      </c>
      <c r="F937" t="inlineStr">
        <is>
          <t>копеек</t>
        </is>
      </c>
    </row>
    <row r="938">
      <c r="A938" t="n">
        <v>936</v>
      </c>
      <c r="B938" t="inlineStr">
        <is>
          <t>девятьсот тридцать шесть</t>
        </is>
      </c>
      <c r="C938" t="inlineStr">
        <is>
          <t>рублей</t>
        </is>
      </c>
      <c r="D938" t="inlineStr">
        <is>
          <t>девятьсот тридцать шесть</t>
        </is>
      </c>
      <c r="E938" t="inlineStr">
        <is>
          <t>тысяч</t>
        </is>
      </c>
      <c r="F938" t="inlineStr">
        <is>
          <t>копеек</t>
        </is>
      </c>
    </row>
    <row r="939">
      <c r="A939" t="n">
        <v>937</v>
      </c>
      <c r="B939" t="inlineStr">
        <is>
          <t>девятьсот тридцать семь</t>
        </is>
      </c>
      <c r="C939" t="inlineStr">
        <is>
          <t>рублей</t>
        </is>
      </c>
      <c r="D939" t="inlineStr">
        <is>
          <t>девятьсот тридцать семь</t>
        </is>
      </c>
      <c r="E939" t="inlineStr">
        <is>
          <t>тысяч</t>
        </is>
      </c>
      <c r="F939" t="inlineStr">
        <is>
          <t>копеек</t>
        </is>
      </c>
    </row>
    <row r="940">
      <c r="A940" t="n">
        <v>938</v>
      </c>
      <c r="B940" t="inlineStr">
        <is>
          <t>девятьсот тридцать восемь</t>
        </is>
      </c>
      <c r="C940" t="inlineStr">
        <is>
          <t>рублей</t>
        </is>
      </c>
      <c r="D940" t="inlineStr">
        <is>
          <t>девятьсот тридцать восемь</t>
        </is>
      </c>
      <c r="E940" t="inlineStr">
        <is>
          <t>тысяч</t>
        </is>
      </c>
      <c r="F940" t="inlineStr">
        <is>
          <t>копеек</t>
        </is>
      </c>
    </row>
    <row r="941">
      <c r="A941" t="n">
        <v>939</v>
      </c>
      <c r="B941" t="inlineStr">
        <is>
          <t>девятьсот тридцать девять</t>
        </is>
      </c>
      <c r="C941" t="inlineStr">
        <is>
          <t>рублей</t>
        </is>
      </c>
      <c r="D941" t="inlineStr">
        <is>
          <t>девятьсот тридцать девять</t>
        </is>
      </c>
      <c r="E941" t="inlineStr">
        <is>
          <t>тысяч</t>
        </is>
      </c>
      <c r="F941" t="inlineStr">
        <is>
          <t>копеек</t>
        </is>
      </c>
    </row>
    <row r="942">
      <c r="A942" t="n">
        <v>940</v>
      </c>
      <c r="B942" t="inlineStr">
        <is>
          <t>девятьсот сорок</t>
        </is>
      </c>
      <c r="C942" t="inlineStr">
        <is>
          <t>рублей</t>
        </is>
      </c>
      <c r="D942" t="inlineStr">
        <is>
          <t>девятьсот сорок</t>
        </is>
      </c>
      <c r="E942" t="inlineStr">
        <is>
          <t>тысяч</t>
        </is>
      </c>
      <c r="F942" t="inlineStr">
        <is>
          <t>копеек</t>
        </is>
      </c>
    </row>
    <row r="943">
      <c r="A943" t="n">
        <v>941</v>
      </c>
      <c r="B943" t="inlineStr">
        <is>
          <t>девятьсот сорок один</t>
        </is>
      </c>
      <c r="C943" t="inlineStr">
        <is>
          <t>рубль</t>
        </is>
      </c>
      <c r="D943" t="inlineStr">
        <is>
          <t>девятьсот сорок одна</t>
        </is>
      </c>
      <c r="E943" t="inlineStr">
        <is>
          <t>тысяча</t>
        </is>
      </c>
      <c r="F943" t="inlineStr">
        <is>
          <t>копейка</t>
        </is>
      </c>
    </row>
    <row r="944">
      <c r="A944" t="n">
        <v>942</v>
      </c>
      <c r="B944" t="inlineStr">
        <is>
          <t>девятьсот сорок два</t>
        </is>
      </c>
      <c r="C944" t="inlineStr">
        <is>
          <t>рубля</t>
        </is>
      </c>
      <c r="D944" t="inlineStr">
        <is>
          <t>девятьсот сорок две</t>
        </is>
      </c>
      <c r="E944" t="inlineStr">
        <is>
          <t>тысячи</t>
        </is>
      </c>
      <c r="F944" t="inlineStr">
        <is>
          <t>копейки</t>
        </is>
      </c>
    </row>
    <row r="945">
      <c r="A945" t="n">
        <v>943</v>
      </c>
      <c r="B945" t="inlineStr">
        <is>
          <t>девятьсот сорок три</t>
        </is>
      </c>
      <c r="C945" t="inlineStr">
        <is>
          <t>рубля</t>
        </is>
      </c>
      <c r="D945" t="inlineStr">
        <is>
          <t>девятьсот сорок три</t>
        </is>
      </c>
      <c r="E945" t="inlineStr">
        <is>
          <t>тысячи</t>
        </is>
      </c>
      <c r="F945" t="inlineStr">
        <is>
          <t>копейки</t>
        </is>
      </c>
    </row>
    <row r="946">
      <c r="A946" t="n">
        <v>944</v>
      </c>
      <c r="B946" t="inlineStr">
        <is>
          <t>девятьсот сорок четыре</t>
        </is>
      </c>
      <c r="C946" t="inlineStr">
        <is>
          <t>рубля</t>
        </is>
      </c>
      <c r="D946" t="inlineStr">
        <is>
          <t>девятьсот сорок четыре</t>
        </is>
      </c>
      <c r="E946" t="inlineStr">
        <is>
          <t>тысячи</t>
        </is>
      </c>
      <c r="F946" t="inlineStr">
        <is>
          <t>копейки</t>
        </is>
      </c>
    </row>
    <row r="947">
      <c r="A947" t="n">
        <v>945</v>
      </c>
      <c r="B947" t="inlineStr">
        <is>
          <t>девятьсот сорок пять</t>
        </is>
      </c>
      <c r="C947" t="inlineStr">
        <is>
          <t>рублей</t>
        </is>
      </c>
      <c r="D947" t="inlineStr">
        <is>
          <t>девятьсот сорок пять</t>
        </is>
      </c>
      <c r="E947" t="inlineStr">
        <is>
          <t>тысяч</t>
        </is>
      </c>
      <c r="F947" t="inlineStr">
        <is>
          <t>копеек</t>
        </is>
      </c>
    </row>
    <row r="948">
      <c r="A948" t="n">
        <v>946</v>
      </c>
      <c r="B948" t="inlineStr">
        <is>
          <t>девятьсот сорок шесть</t>
        </is>
      </c>
      <c r="C948" t="inlineStr">
        <is>
          <t>рублей</t>
        </is>
      </c>
      <c r="D948" t="inlineStr">
        <is>
          <t>девятьсот сорок шесть</t>
        </is>
      </c>
      <c r="E948" t="inlineStr">
        <is>
          <t>тысяч</t>
        </is>
      </c>
      <c r="F948" t="inlineStr">
        <is>
          <t>копеек</t>
        </is>
      </c>
    </row>
    <row r="949">
      <c r="A949" t="n">
        <v>947</v>
      </c>
      <c r="B949" t="inlineStr">
        <is>
          <t>девятьсот сорок семь</t>
        </is>
      </c>
      <c r="C949" t="inlineStr">
        <is>
          <t>рублей</t>
        </is>
      </c>
      <c r="D949" t="inlineStr">
        <is>
          <t>девятьсот сорок семь</t>
        </is>
      </c>
      <c r="E949" t="inlineStr">
        <is>
          <t>тысяч</t>
        </is>
      </c>
      <c r="F949" t="inlineStr">
        <is>
          <t>копеек</t>
        </is>
      </c>
    </row>
    <row r="950">
      <c r="A950" t="n">
        <v>948</v>
      </c>
      <c r="B950" t="inlineStr">
        <is>
          <t>девятьсот сорок восемь</t>
        </is>
      </c>
      <c r="C950" t="inlineStr">
        <is>
          <t>рублей</t>
        </is>
      </c>
      <c r="D950" t="inlineStr">
        <is>
          <t>девятьсот сорок восемь</t>
        </is>
      </c>
      <c r="E950" t="inlineStr">
        <is>
          <t>тысяч</t>
        </is>
      </c>
      <c r="F950" t="inlineStr">
        <is>
          <t>копеек</t>
        </is>
      </c>
    </row>
    <row r="951">
      <c r="A951" t="n">
        <v>949</v>
      </c>
      <c r="B951" t="inlineStr">
        <is>
          <t>девятьсот сорок девять</t>
        </is>
      </c>
      <c r="C951" t="inlineStr">
        <is>
          <t>рублей</t>
        </is>
      </c>
      <c r="D951" t="inlineStr">
        <is>
          <t>девятьсот сорок девять</t>
        </is>
      </c>
      <c r="E951" t="inlineStr">
        <is>
          <t>тысяч</t>
        </is>
      </c>
      <c r="F951" t="inlineStr">
        <is>
          <t>копеек</t>
        </is>
      </c>
    </row>
    <row r="952">
      <c r="A952" t="n">
        <v>950</v>
      </c>
      <c r="B952" t="inlineStr">
        <is>
          <t>девятьсот пятьдесят</t>
        </is>
      </c>
      <c r="C952" t="inlineStr">
        <is>
          <t>рублей</t>
        </is>
      </c>
      <c r="D952" t="inlineStr">
        <is>
          <t>девятьсот пятьдесят</t>
        </is>
      </c>
      <c r="E952" t="inlineStr">
        <is>
          <t>тысяч</t>
        </is>
      </c>
      <c r="F952" t="inlineStr">
        <is>
          <t>копеек</t>
        </is>
      </c>
    </row>
    <row r="953">
      <c r="A953" t="n">
        <v>951</v>
      </c>
      <c r="B953" t="inlineStr">
        <is>
          <t>девятьсот пятьдесят один</t>
        </is>
      </c>
      <c r="C953" t="inlineStr">
        <is>
          <t>рубль</t>
        </is>
      </c>
      <c r="D953" t="inlineStr">
        <is>
          <t>девятьсот пятьдесят одна</t>
        </is>
      </c>
      <c r="E953" t="inlineStr">
        <is>
          <t>тысяча</t>
        </is>
      </c>
      <c r="F953" t="inlineStr">
        <is>
          <t>копейка</t>
        </is>
      </c>
    </row>
    <row r="954">
      <c r="A954" t="n">
        <v>952</v>
      </c>
      <c r="B954" t="inlineStr">
        <is>
          <t>девятьсот пятьдесят два</t>
        </is>
      </c>
      <c r="C954" t="inlineStr">
        <is>
          <t>рубля</t>
        </is>
      </c>
      <c r="D954" t="inlineStr">
        <is>
          <t>девятьсот пятьдесят две</t>
        </is>
      </c>
      <c r="E954" t="inlineStr">
        <is>
          <t>тысячи</t>
        </is>
      </c>
      <c r="F954" t="inlineStr">
        <is>
          <t>копейки</t>
        </is>
      </c>
    </row>
    <row r="955">
      <c r="A955" t="n">
        <v>953</v>
      </c>
      <c r="B955" t="inlineStr">
        <is>
          <t>девятьсот пятьдесят три</t>
        </is>
      </c>
      <c r="C955" t="inlineStr">
        <is>
          <t>рубля</t>
        </is>
      </c>
      <c r="D955" t="inlineStr">
        <is>
          <t>девятьсот пятьдесят три</t>
        </is>
      </c>
      <c r="E955" t="inlineStr">
        <is>
          <t>тысячи</t>
        </is>
      </c>
      <c r="F955" t="inlineStr">
        <is>
          <t>копейки</t>
        </is>
      </c>
    </row>
    <row r="956">
      <c r="A956" t="n">
        <v>954</v>
      </c>
      <c r="B956" t="inlineStr">
        <is>
          <t>девятьсот пятьдесят четыре</t>
        </is>
      </c>
      <c r="C956" t="inlineStr">
        <is>
          <t>рубля</t>
        </is>
      </c>
      <c r="D956" t="inlineStr">
        <is>
          <t>девятьсот пятьдесят четыре</t>
        </is>
      </c>
      <c r="E956" t="inlineStr">
        <is>
          <t>тысячи</t>
        </is>
      </c>
      <c r="F956" t="inlineStr">
        <is>
          <t>копейки</t>
        </is>
      </c>
    </row>
    <row r="957">
      <c r="A957" t="n">
        <v>955</v>
      </c>
      <c r="B957" t="inlineStr">
        <is>
          <t>девятьсот пятьдесят пять</t>
        </is>
      </c>
      <c r="C957" t="inlineStr">
        <is>
          <t>рублей</t>
        </is>
      </c>
      <c r="D957" t="inlineStr">
        <is>
          <t>девятьсот пятьдесят пять</t>
        </is>
      </c>
      <c r="E957" t="inlineStr">
        <is>
          <t>тысяч</t>
        </is>
      </c>
      <c r="F957" t="inlineStr">
        <is>
          <t>копеек</t>
        </is>
      </c>
    </row>
    <row r="958">
      <c r="A958" t="n">
        <v>956</v>
      </c>
      <c r="B958" t="inlineStr">
        <is>
          <t>девятьсот пятьдесят шесть</t>
        </is>
      </c>
      <c r="C958" t="inlineStr">
        <is>
          <t>рублей</t>
        </is>
      </c>
      <c r="D958" t="inlineStr">
        <is>
          <t>девятьсот пятьдесят шесть</t>
        </is>
      </c>
      <c r="E958" t="inlineStr">
        <is>
          <t>тысяч</t>
        </is>
      </c>
      <c r="F958" t="inlineStr">
        <is>
          <t>копеек</t>
        </is>
      </c>
    </row>
    <row r="959">
      <c r="A959" t="n">
        <v>957</v>
      </c>
      <c r="B959" t="inlineStr">
        <is>
          <t>девятьсот пятьдесят семь</t>
        </is>
      </c>
      <c r="C959" t="inlineStr">
        <is>
          <t>рублей</t>
        </is>
      </c>
      <c r="D959" t="inlineStr">
        <is>
          <t>девятьсот пятьдесят семь</t>
        </is>
      </c>
      <c r="E959" t="inlineStr">
        <is>
          <t>тысяч</t>
        </is>
      </c>
      <c r="F959" t="inlineStr">
        <is>
          <t>копеек</t>
        </is>
      </c>
    </row>
    <row r="960">
      <c r="A960" t="n">
        <v>958</v>
      </c>
      <c r="B960" t="inlineStr">
        <is>
          <t>девятьсот пятьдесят восемь</t>
        </is>
      </c>
      <c r="C960" t="inlineStr">
        <is>
          <t>рублей</t>
        </is>
      </c>
      <c r="D960" t="inlineStr">
        <is>
          <t>девятьсот пятьдесят восемь</t>
        </is>
      </c>
      <c r="E960" t="inlineStr">
        <is>
          <t>тысяч</t>
        </is>
      </c>
      <c r="F960" t="inlineStr">
        <is>
          <t>копеек</t>
        </is>
      </c>
    </row>
    <row r="961">
      <c r="A961" t="n">
        <v>959</v>
      </c>
      <c r="B961" t="inlineStr">
        <is>
          <t>девятьсот пятьдесят девять</t>
        </is>
      </c>
      <c r="C961" t="inlineStr">
        <is>
          <t>рублей</t>
        </is>
      </c>
      <c r="D961" t="inlineStr">
        <is>
          <t>девятьсот пятьдесят девять</t>
        </is>
      </c>
      <c r="E961" t="inlineStr">
        <is>
          <t>тысяч</t>
        </is>
      </c>
      <c r="F961" t="inlineStr">
        <is>
          <t>копеек</t>
        </is>
      </c>
    </row>
    <row r="962">
      <c r="A962" t="n">
        <v>960</v>
      </c>
      <c r="B962" t="inlineStr">
        <is>
          <t>девятьсот шестьдесят</t>
        </is>
      </c>
      <c r="C962" t="inlineStr">
        <is>
          <t>рублей</t>
        </is>
      </c>
      <c r="D962" t="inlineStr">
        <is>
          <t>девятьсот шестьдесят</t>
        </is>
      </c>
      <c r="E962" t="inlineStr">
        <is>
          <t>тысяч</t>
        </is>
      </c>
      <c r="F962" t="inlineStr">
        <is>
          <t>копеек</t>
        </is>
      </c>
    </row>
    <row r="963">
      <c r="A963" t="n">
        <v>961</v>
      </c>
      <c r="B963" t="inlineStr">
        <is>
          <t>девятьсот шестьдесят один</t>
        </is>
      </c>
      <c r="C963" t="inlineStr">
        <is>
          <t>рубль</t>
        </is>
      </c>
      <c r="D963" t="inlineStr">
        <is>
          <t>девятьсот шестьдесят одна</t>
        </is>
      </c>
      <c r="E963" t="inlineStr">
        <is>
          <t>тысяча</t>
        </is>
      </c>
      <c r="F963" t="inlineStr">
        <is>
          <t>копейка</t>
        </is>
      </c>
    </row>
    <row r="964">
      <c r="A964" t="n">
        <v>962</v>
      </c>
      <c r="B964" t="inlineStr">
        <is>
          <t>девятьсот шестьдесят два</t>
        </is>
      </c>
      <c r="C964" t="inlineStr">
        <is>
          <t>рубля</t>
        </is>
      </c>
      <c r="D964" t="inlineStr">
        <is>
          <t>девятьсот шестьдесят две</t>
        </is>
      </c>
      <c r="E964" t="inlineStr">
        <is>
          <t>тысячи</t>
        </is>
      </c>
      <c r="F964" t="inlineStr">
        <is>
          <t>копейки</t>
        </is>
      </c>
    </row>
    <row r="965">
      <c r="A965" t="n">
        <v>963</v>
      </c>
      <c r="B965" t="inlineStr">
        <is>
          <t>девятьсот шестьдесят три</t>
        </is>
      </c>
      <c r="C965" t="inlineStr">
        <is>
          <t>рубля</t>
        </is>
      </c>
      <c r="D965" t="inlineStr">
        <is>
          <t>девятьсот шестьдесят три</t>
        </is>
      </c>
      <c r="E965" t="inlineStr">
        <is>
          <t>тысячи</t>
        </is>
      </c>
      <c r="F965" t="inlineStr">
        <is>
          <t>копейки</t>
        </is>
      </c>
    </row>
    <row r="966">
      <c r="A966" t="n">
        <v>964</v>
      </c>
      <c r="B966" t="inlineStr">
        <is>
          <t>девятьсот шестьдесят четыре</t>
        </is>
      </c>
      <c r="C966" t="inlineStr">
        <is>
          <t>рубля</t>
        </is>
      </c>
      <c r="D966" t="inlineStr">
        <is>
          <t>девятьсот шестьдесят четыре</t>
        </is>
      </c>
      <c r="E966" t="inlineStr">
        <is>
          <t>тысячи</t>
        </is>
      </c>
      <c r="F966" t="inlineStr">
        <is>
          <t>копейки</t>
        </is>
      </c>
    </row>
    <row r="967">
      <c r="A967" t="n">
        <v>965</v>
      </c>
      <c r="B967" t="inlineStr">
        <is>
          <t>девятьсот шестьдесят пять</t>
        </is>
      </c>
      <c r="C967" t="inlineStr">
        <is>
          <t>рублей</t>
        </is>
      </c>
      <c r="D967" t="inlineStr">
        <is>
          <t>девятьсот шестьдесят пять</t>
        </is>
      </c>
      <c r="E967" t="inlineStr">
        <is>
          <t>тысяч</t>
        </is>
      </c>
      <c r="F967" t="inlineStr">
        <is>
          <t>копеек</t>
        </is>
      </c>
    </row>
    <row r="968">
      <c r="A968" t="n">
        <v>966</v>
      </c>
      <c r="B968" t="inlineStr">
        <is>
          <t>девятьсот шестьдесят шесть</t>
        </is>
      </c>
      <c r="C968" t="inlineStr">
        <is>
          <t>рублей</t>
        </is>
      </c>
      <c r="D968" t="inlineStr">
        <is>
          <t>девятьсот шестьдесят шесть</t>
        </is>
      </c>
      <c r="E968" t="inlineStr">
        <is>
          <t>тысяч</t>
        </is>
      </c>
      <c r="F968" t="inlineStr">
        <is>
          <t>копеек</t>
        </is>
      </c>
    </row>
    <row r="969">
      <c r="A969" t="n">
        <v>967</v>
      </c>
      <c r="B969" t="inlineStr">
        <is>
          <t>девятьсот шестьдесят семь</t>
        </is>
      </c>
      <c r="C969" t="inlineStr">
        <is>
          <t>рублей</t>
        </is>
      </c>
      <c r="D969" t="inlineStr">
        <is>
          <t>девятьсот шестьдесят семь</t>
        </is>
      </c>
      <c r="E969" t="inlineStr">
        <is>
          <t>тысяч</t>
        </is>
      </c>
      <c r="F969" t="inlineStr">
        <is>
          <t>копеек</t>
        </is>
      </c>
    </row>
    <row r="970">
      <c r="A970" t="n">
        <v>968</v>
      </c>
      <c r="B970" t="inlineStr">
        <is>
          <t>девятьсот шестьдесят восемь</t>
        </is>
      </c>
      <c r="C970" t="inlineStr">
        <is>
          <t>рублей</t>
        </is>
      </c>
      <c r="D970" t="inlineStr">
        <is>
          <t>девятьсот шестьдесят восемь</t>
        </is>
      </c>
      <c r="E970" t="inlineStr">
        <is>
          <t>тысяч</t>
        </is>
      </c>
      <c r="F970" t="inlineStr">
        <is>
          <t>копеек</t>
        </is>
      </c>
    </row>
    <row r="971">
      <c r="A971" t="n">
        <v>969</v>
      </c>
      <c r="B971" t="inlineStr">
        <is>
          <t>девятьсот шестьдесят девять</t>
        </is>
      </c>
      <c r="C971" t="inlineStr">
        <is>
          <t>рублей</t>
        </is>
      </c>
      <c r="D971" t="inlineStr">
        <is>
          <t>девятьсот шестьдесят девять</t>
        </is>
      </c>
      <c r="E971" t="inlineStr">
        <is>
          <t>тысяч</t>
        </is>
      </c>
      <c r="F971" t="inlineStr">
        <is>
          <t>копеек</t>
        </is>
      </c>
    </row>
    <row r="972">
      <c r="A972" t="n">
        <v>970</v>
      </c>
      <c r="B972" t="inlineStr">
        <is>
          <t>девятьсот семьдесят</t>
        </is>
      </c>
      <c r="C972" t="inlineStr">
        <is>
          <t>рублей</t>
        </is>
      </c>
      <c r="D972" t="inlineStr">
        <is>
          <t>девятьсот семьдесят</t>
        </is>
      </c>
      <c r="E972" t="inlineStr">
        <is>
          <t>тысяч</t>
        </is>
      </c>
      <c r="F972" t="inlineStr">
        <is>
          <t>копеек</t>
        </is>
      </c>
    </row>
    <row r="973">
      <c r="A973" t="n">
        <v>971</v>
      </c>
      <c r="B973" t="inlineStr">
        <is>
          <t>девятьсот семьдесят один</t>
        </is>
      </c>
      <c r="C973" t="inlineStr">
        <is>
          <t>рубль</t>
        </is>
      </c>
      <c r="D973" t="inlineStr">
        <is>
          <t>девятьсот семьдесят одна</t>
        </is>
      </c>
      <c r="E973" t="inlineStr">
        <is>
          <t>тысяча</t>
        </is>
      </c>
      <c r="F973" t="inlineStr">
        <is>
          <t>копейка</t>
        </is>
      </c>
    </row>
    <row r="974">
      <c r="A974" t="n">
        <v>972</v>
      </c>
      <c r="B974" t="inlineStr">
        <is>
          <t>девятьсот семьдесят два</t>
        </is>
      </c>
      <c r="C974" t="inlineStr">
        <is>
          <t>рубля</t>
        </is>
      </c>
      <c r="D974" t="inlineStr">
        <is>
          <t>девятьсот семьдесят две</t>
        </is>
      </c>
      <c r="E974" t="inlineStr">
        <is>
          <t>тысячи</t>
        </is>
      </c>
      <c r="F974" t="inlineStr">
        <is>
          <t>копейки</t>
        </is>
      </c>
    </row>
    <row r="975">
      <c r="A975" t="n">
        <v>973</v>
      </c>
      <c r="B975" t="inlineStr">
        <is>
          <t>девятьсот семьдесят три</t>
        </is>
      </c>
      <c r="C975" t="inlineStr">
        <is>
          <t>рубля</t>
        </is>
      </c>
      <c r="D975" t="inlineStr">
        <is>
          <t>девятьсот семьдесят три</t>
        </is>
      </c>
      <c r="E975" t="inlineStr">
        <is>
          <t>тысячи</t>
        </is>
      </c>
      <c r="F975" t="inlineStr">
        <is>
          <t>копейки</t>
        </is>
      </c>
    </row>
    <row r="976">
      <c r="A976" t="n">
        <v>974</v>
      </c>
      <c r="B976" t="inlineStr">
        <is>
          <t>девятьсот семьдесят четыре</t>
        </is>
      </c>
      <c r="C976" t="inlineStr">
        <is>
          <t>рубля</t>
        </is>
      </c>
      <c r="D976" t="inlineStr">
        <is>
          <t>девятьсот семьдесят четыре</t>
        </is>
      </c>
      <c r="E976" t="inlineStr">
        <is>
          <t>тысячи</t>
        </is>
      </c>
      <c r="F976" t="inlineStr">
        <is>
          <t>копейки</t>
        </is>
      </c>
    </row>
    <row r="977">
      <c r="A977" t="n">
        <v>975</v>
      </c>
      <c r="B977" t="inlineStr">
        <is>
          <t>девятьсот семьдесят пять</t>
        </is>
      </c>
      <c r="C977" t="inlineStr">
        <is>
          <t>рублей</t>
        </is>
      </c>
      <c r="D977" t="inlineStr">
        <is>
          <t>девятьсот семьдесят пять</t>
        </is>
      </c>
      <c r="E977" t="inlineStr">
        <is>
          <t>тысяч</t>
        </is>
      </c>
      <c r="F977" t="inlineStr">
        <is>
          <t>копеек</t>
        </is>
      </c>
    </row>
    <row r="978">
      <c r="A978" t="n">
        <v>976</v>
      </c>
      <c r="B978" t="inlineStr">
        <is>
          <t>девятьсот семьдесят шесть</t>
        </is>
      </c>
      <c r="C978" t="inlineStr">
        <is>
          <t>рублей</t>
        </is>
      </c>
      <c r="D978" t="inlineStr">
        <is>
          <t>девятьсот семьдесят шесть</t>
        </is>
      </c>
      <c r="E978" t="inlineStr">
        <is>
          <t>тысяч</t>
        </is>
      </c>
      <c r="F978" t="inlineStr">
        <is>
          <t>копеек</t>
        </is>
      </c>
    </row>
    <row r="979">
      <c r="A979" t="n">
        <v>977</v>
      </c>
      <c r="B979" t="inlineStr">
        <is>
          <t>девятьсот семьдесят семь</t>
        </is>
      </c>
      <c r="C979" t="inlineStr">
        <is>
          <t>рублей</t>
        </is>
      </c>
      <c r="D979" t="inlineStr">
        <is>
          <t>девятьсот семьдесят семь</t>
        </is>
      </c>
      <c r="E979" t="inlineStr">
        <is>
          <t>тысяч</t>
        </is>
      </c>
      <c r="F979" t="inlineStr">
        <is>
          <t>копеек</t>
        </is>
      </c>
    </row>
    <row r="980">
      <c r="A980" t="n">
        <v>978</v>
      </c>
      <c r="B980" t="inlineStr">
        <is>
          <t>девятьсот семьдесят восемь</t>
        </is>
      </c>
      <c r="C980" t="inlineStr">
        <is>
          <t>рублей</t>
        </is>
      </c>
      <c r="D980" t="inlineStr">
        <is>
          <t>девятьсот семьдесят восемь</t>
        </is>
      </c>
      <c r="E980" t="inlineStr">
        <is>
          <t>тысяч</t>
        </is>
      </c>
      <c r="F980" t="inlineStr">
        <is>
          <t>копеек</t>
        </is>
      </c>
    </row>
    <row r="981">
      <c r="A981" t="n">
        <v>979</v>
      </c>
      <c r="B981" t="inlineStr">
        <is>
          <t>девятьсот семьдесят девять</t>
        </is>
      </c>
      <c r="C981" t="inlineStr">
        <is>
          <t>рублей</t>
        </is>
      </c>
      <c r="D981" t="inlineStr">
        <is>
          <t>девятьсот семьдесят девять</t>
        </is>
      </c>
      <c r="E981" t="inlineStr">
        <is>
          <t>тысяч</t>
        </is>
      </c>
      <c r="F981" t="inlineStr">
        <is>
          <t>копеек</t>
        </is>
      </c>
    </row>
    <row r="982">
      <c r="A982" t="n">
        <v>980</v>
      </c>
      <c r="B982" t="inlineStr">
        <is>
          <t>девятьсот восемьдесят</t>
        </is>
      </c>
      <c r="C982" t="inlineStr">
        <is>
          <t>рублей</t>
        </is>
      </c>
      <c r="D982" t="inlineStr">
        <is>
          <t>девятьсот восемьдесят</t>
        </is>
      </c>
      <c r="E982" t="inlineStr">
        <is>
          <t>тысяч</t>
        </is>
      </c>
      <c r="F982" t="inlineStr">
        <is>
          <t>копеек</t>
        </is>
      </c>
    </row>
    <row r="983">
      <c r="A983" t="n">
        <v>981</v>
      </c>
      <c r="B983" t="inlineStr">
        <is>
          <t>девятьсот восемьдесят один</t>
        </is>
      </c>
      <c r="C983" t="inlineStr">
        <is>
          <t>рубль</t>
        </is>
      </c>
      <c r="D983" t="inlineStr">
        <is>
          <t>девятьсот восемьдесят одна</t>
        </is>
      </c>
      <c r="E983" t="inlineStr">
        <is>
          <t>тысяча</t>
        </is>
      </c>
      <c r="F983" t="inlineStr">
        <is>
          <t>копейка</t>
        </is>
      </c>
    </row>
    <row r="984">
      <c r="A984" t="n">
        <v>982</v>
      </c>
      <c r="B984" t="inlineStr">
        <is>
          <t>девятьсот восемьдесят два</t>
        </is>
      </c>
      <c r="C984" t="inlineStr">
        <is>
          <t>рубля</t>
        </is>
      </c>
      <c r="D984" t="inlineStr">
        <is>
          <t>девятьсот восемьдесят две</t>
        </is>
      </c>
      <c r="E984" t="inlineStr">
        <is>
          <t>тысячи</t>
        </is>
      </c>
      <c r="F984" t="inlineStr">
        <is>
          <t>копейки</t>
        </is>
      </c>
    </row>
    <row r="985">
      <c r="A985" t="n">
        <v>983</v>
      </c>
      <c r="B985" t="inlineStr">
        <is>
          <t>девятьсот восемьдесят три</t>
        </is>
      </c>
      <c r="C985" t="inlineStr">
        <is>
          <t>рубля</t>
        </is>
      </c>
      <c r="D985" t="inlineStr">
        <is>
          <t>девятьсот восемьдесят три</t>
        </is>
      </c>
      <c r="E985" t="inlineStr">
        <is>
          <t>тысячи</t>
        </is>
      </c>
      <c r="F985" t="inlineStr">
        <is>
          <t>копейки</t>
        </is>
      </c>
    </row>
    <row r="986">
      <c r="A986" t="n">
        <v>984</v>
      </c>
      <c r="B986" t="inlineStr">
        <is>
          <t>девятьсот восемьдесят четыре</t>
        </is>
      </c>
      <c r="C986" t="inlineStr">
        <is>
          <t>рубля</t>
        </is>
      </c>
      <c r="D986" t="inlineStr">
        <is>
          <t>девятьсот восемьдесят четыре</t>
        </is>
      </c>
      <c r="E986" t="inlineStr">
        <is>
          <t>тысячи</t>
        </is>
      </c>
      <c r="F986" t="inlineStr">
        <is>
          <t>копейки</t>
        </is>
      </c>
    </row>
    <row r="987">
      <c r="A987" t="n">
        <v>985</v>
      </c>
      <c r="B987" t="inlineStr">
        <is>
          <t>девятьсот восемьдесят пять</t>
        </is>
      </c>
      <c r="C987" t="inlineStr">
        <is>
          <t>рублей</t>
        </is>
      </c>
      <c r="D987" t="inlineStr">
        <is>
          <t>девятьсот восемьдесят пять</t>
        </is>
      </c>
      <c r="E987" t="inlineStr">
        <is>
          <t>тысяч</t>
        </is>
      </c>
      <c r="F987" t="inlineStr">
        <is>
          <t>копеек</t>
        </is>
      </c>
    </row>
    <row r="988">
      <c r="A988" t="n">
        <v>986</v>
      </c>
      <c r="B988" t="inlineStr">
        <is>
          <t>девятьсот восемьдесят шесть</t>
        </is>
      </c>
      <c r="C988" t="inlineStr">
        <is>
          <t>рублей</t>
        </is>
      </c>
      <c r="D988" t="inlineStr">
        <is>
          <t>девятьсот восемьдесят шесть</t>
        </is>
      </c>
      <c r="E988" t="inlineStr">
        <is>
          <t>тысяч</t>
        </is>
      </c>
      <c r="F988" t="inlineStr">
        <is>
          <t>копеек</t>
        </is>
      </c>
    </row>
    <row r="989">
      <c r="A989" t="n">
        <v>987</v>
      </c>
      <c r="B989" t="inlineStr">
        <is>
          <t>девятьсот восемьдесят семь</t>
        </is>
      </c>
      <c r="C989" t="inlineStr">
        <is>
          <t>рублей</t>
        </is>
      </c>
      <c r="D989" t="inlineStr">
        <is>
          <t>девятьсот восемьдесят семь</t>
        </is>
      </c>
      <c r="E989" t="inlineStr">
        <is>
          <t>тысяч</t>
        </is>
      </c>
      <c r="F989" t="inlineStr">
        <is>
          <t>копеек</t>
        </is>
      </c>
    </row>
    <row r="990">
      <c r="A990" t="n">
        <v>988</v>
      </c>
      <c r="B990" t="inlineStr">
        <is>
          <t>девятьсот восемьдесят восемь</t>
        </is>
      </c>
      <c r="C990" t="inlineStr">
        <is>
          <t>рублей</t>
        </is>
      </c>
      <c r="D990" t="inlineStr">
        <is>
          <t>девятьсот восемьдесят восемь</t>
        </is>
      </c>
      <c r="E990" t="inlineStr">
        <is>
          <t>тысяч</t>
        </is>
      </c>
      <c r="F990" t="inlineStr">
        <is>
          <t>копеек</t>
        </is>
      </c>
    </row>
    <row r="991">
      <c r="A991" t="n">
        <v>989</v>
      </c>
      <c r="B991" t="inlineStr">
        <is>
          <t>девятьсот восемьдесят девять</t>
        </is>
      </c>
      <c r="C991" t="inlineStr">
        <is>
          <t>рублей</t>
        </is>
      </c>
      <c r="D991" t="inlineStr">
        <is>
          <t>девятьсот восемьдесят девять</t>
        </is>
      </c>
      <c r="E991" t="inlineStr">
        <is>
          <t>тысяч</t>
        </is>
      </c>
      <c r="F991" t="inlineStr">
        <is>
          <t>копеек</t>
        </is>
      </c>
    </row>
    <row r="992">
      <c r="A992" t="n">
        <v>990</v>
      </c>
      <c r="B992" t="inlineStr">
        <is>
          <t>девятьсот девяносто</t>
        </is>
      </c>
      <c r="C992" t="inlineStr">
        <is>
          <t>рублей</t>
        </is>
      </c>
      <c r="D992" t="inlineStr">
        <is>
          <t>девятьсот девяносто</t>
        </is>
      </c>
      <c r="E992" t="inlineStr">
        <is>
          <t>тысяч</t>
        </is>
      </c>
      <c r="F992" t="inlineStr">
        <is>
          <t>копеек</t>
        </is>
      </c>
    </row>
    <row r="993">
      <c r="A993" t="n">
        <v>991</v>
      </c>
      <c r="B993" t="inlineStr">
        <is>
          <t>девятьсот девяносто один</t>
        </is>
      </c>
      <c r="C993" t="inlineStr">
        <is>
          <t>рубль</t>
        </is>
      </c>
      <c r="D993" t="inlineStr">
        <is>
          <t>девятьсот девяносто одна</t>
        </is>
      </c>
      <c r="E993" t="inlineStr">
        <is>
          <t>тысяча</t>
        </is>
      </c>
      <c r="F993" t="inlineStr">
        <is>
          <t>копейка</t>
        </is>
      </c>
    </row>
    <row r="994">
      <c r="A994" t="n">
        <v>992</v>
      </c>
      <c r="B994" t="inlineStr">
        <is>
          <t>девятьсот девяносто два</t>
        </is>
      </c>
      <c r="C994" t="inlineStr">
        <is>
          <t>рубля</t>
        </is>
      </c>
      <c r="D994" t="inlineStr">
        <is>
          <t>девятьсот девяносто две</t>
        </is>
      </c>
      <c r="E994" t="inlineStr">
        <is>
          <t>тысячи</t>
        </is>
      </c>
      <c r="F994" t="inlineStr">
        <is>
          <t>копейки</t>
        </is>
      </c>
    </row>
    <row r="995">
      <c r="A995" t="n">
        <v>993</v>
      </c>
      <c r="B995" t="inlineStr">
        <is>
          <t>девятьсот девяносто три</t>
        </is>
      </c>
      <c r="C995" t="inlineStr">
        <is>
          <t>рубля</t>
        </is>
      </c>
      <c r="D995" t="inlineStr">
        <is>
          <t>девятьсот девяносто три</t>
        </is>
      </c>
      <c r="E995" t="inlineStr">
        <is>
          <t>тысячи</t>
        </is>
      </c>
      <c r="F995" t="inlineStr">
        <is>
          <t>копейки</t>
        </is>
      </c>
    </row>
    <row r="996">
      <c r="A996" t="n">
        <v>994</v>
      </c>
      <c r="B996" t="inlineStr">
        <is>
          <t>девятьсот девяносто четыре</t>
        </is>
      </c>
      <c r="C996" t="inlineStr">
        <is>
          <t>рубля</t>
        </is>
      </c>
      <c r="D996" t="inlineStr">
        <is>
          <t>девятьсот девяносто четыре</t>
        </is>
      </c>
      <c r="E996" t="inlineStr">
        <is>
          <t>тысячи</t>
        </is>
      </c>
      <c r="F996" t="inlineStr">
        <is>
          <t>копейки</t>
        </is>
      </c>
    </row>
    <row r="997">
      <c r="A997" t="n">
        <v>995</v>
      </c>
      <c r="B997" t="inlineStr">
        <is>
          <t>девятьсот девяносто пять</t>
        </is>
      </c>
      <c r="C997" t="inlineStr">
        <is>
          <t>рублей</t>
        </is>
      </c>
      <c r="D997" t="inlineStr">
        <is>
          <t>девятьсот девяносто пять</t>
        </is>
      </c>
      <c r="E997" t="inlineStr">
        <is>
          <t>тысяч</t>
        </is>
      </c>
      <c r="F997" t="inlineStr">
        <is>
          <t>копеек</t>
        </is>
      </c>
    </row>
    <row r="998">
      <c r="A998" t="n">
        <v>996</v>
      </c>
      <c r="B998" t="inlineStr">
        <is>
          <t>девятьсот девяносто шесть</t>
        </is>
      </c>
      <c r="C998" t="inlineStr">
        <is>
          <t>рублей</t>
        </is>
      </c>
      <c r="D998" t="inlineStr">
        <is>
          <t>девятьсот девяносто шесть</t>
        </is>
      </c>
      <c r="E998" t="inlineStr">
        <is>
          <t>тысяч</t>
        </is>
      </c>
      <c r="F998" t="inlineStr">
        <is>
          <t>копеек</t>
        </is>
      </c>
    </row>
    <row r="999">
      <c r="A999" t="n">
        <v>997</v>
      </c>
      <c r="B999" t="inlineStr">
        <is>
          <t>девятьсот девяносто семь</t>
        </is>
      </c>
      <c r="C999" t="inlineStr">
        <is>
          <t>рублей</t>
        </is>
      </c>
      <c r="D999" t="inlineStr">
        <is>
          <t>девятьсот девяносто семь</t>
        </is>
      </c>
      <c r="E999" t="inlineStr">
        <is>
          <t>тысяч</t>
        </is>
      </c>
      <c r="F999" t="inlineStr">
        <is>
          <t>копеек</t>
        </is>
      </c>
    </row>
    <row r="1000">
      <c r="A1000" t="n">
        <v>998</v>
      </c>
      <c r="B1000" t="inlineStr">
        <is>
          <t>девятьсот девяносто восемь</t>
        </is>
      </c>
      <c r="C1000" t="inlineStr">
        <is>
          <t>рублей</t>
        </is>
      </c>
      <c r="D1000" t="inlineStr">
        <is>
          <t>девятьсот девяносто восемь</t>
        </is>
      </c>
      <c r="E1000" t="inlineStr">
        <is>
          <t>тысяч</t>
        </is>
      </c>
      <c r="F1000" t="inlineStr">
        <is>
          <t>копеек</t>
        </is>
      </c>
    </row>
    <row r="1001">
      <c r="A1001" t="n">
        <v>999</v>
      </c>
      <c r="B1001" t="inlineStr">
        <is>
          <t>девятьсот девяносто девять</t>
        </is>
      </c>
      <c r="C1001" t="inlineStr">
        <is>
          <t>рублей</t>
        </is>
      </c>
      <c r="D1001" t="inlineStr">
        <is>
          <t>девятьсот девяносто девять</t>
        </is>
      </c>
      <c r="E1001" t="inlineStr">
        <is>
          <t>тысяч</t>
        </is>
      </c>
      <c r="F1001" t="inlineStr">
        <is>
          <t>копеек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2:H43"/>
  <sheetViews>
    <sheetView showGridLines="0" workbookViewId="0">
      <selection activeCell="A1" sqref="A1"/>
    </sheetView>
  </sheetViews>
  <sheetFormatPr baseColWidth="8" defaultRowHeight="15"/>
  <cols>
    <col width="1.8" customWidth="1" min="1" max="1"/>
    <col width="20.5" customWidth="1" min="2" max="2"/>
    <col width="12.5" customWidth="1" min="3" max="3"/>
    <col width="15" customWidth="1" min="4" max="4"/>
    <col width="10.5" customWidth="1" min="5" max="5"/>
    <col width="15" customWidth="1" min="6" max="6"/>
    <col width="12" customWidth="1" min="7" max="7"/>
    <col width="14" customWidth="1" min="8" max="8"/>
    <col width="1.8" customWidth="1" min="9" max="9"/>
  </cols>
  <sheetData>
    <row r="1" ht="6" customHeight="1"/>
    <row r="2" ht="40" customHeight="1">
      <c r="B2" s="19" t="inlineStr">
        <is>
          <r>
            <rPr>
              <rFont val="Arial"/>
              <b val="1"/>
              <color rgb="00000000"/>
              <sz val="13"/>
            </rPr>
            <t xml:space="preserve">ПЛАТЁЖНЫЙ ДОКУМЕНТ (КВИТАНЦИЯ)
</t>
          </r>
          <r>
            <rPr>
              <rFont val="Arial"/>
              <b val="1"/>
              <color rgb="00000000"/>
              <sz val="9"/>
            </rPr>
            <t>на внесение взноса на капитальный ремонт общего имущества в многоквартирном доме</t>
          </r>
        </is>
      </c>
      <c r="C2" s="19" t="n"/>
      <c r="D2" s="19" t="n"/>
      <c r="E2" s="19" t="n"/>
      <c r="F2" s="19" t="n"/>
      <c r="G2" s="19" t="n"/>
      <c r="H2" s="19" t="n"/>
    </row>
    <row r="3" ht="20" customHeight="1">
      <c r="B3" s="20">
        <f>"Специальный счёт МКД · "&amp;'ИСХОДНЫЕ ДАННЫЕ'!$C$14</f>
        <v/>
      </c>
      <c r="C3" s="21" t="n"/>
      <c r="D3" s="21" t="n"/>
      <c r="E3" s="21" t="n"/>
      <c r="F3" s="22">
        <f>"Расчётный период: "&amp;"I квартал "&amp;'ИСХОДНЫЕ ДАННЫЕ'!$C$5&amp;" г."</f>
        <v/>
      </c>
      <c r="G3" s="22" t="n"/>
      <c r="H3" s="23" t="n"/>
    </row>
    <row r="4" ht="5" customHeight="1"/>
    <row r="5" ht="16" customHeight="1">
      <c r="B5" s="24" t="inlineStr">
        <is>
          <t>1. ПОЛУЧАТЕЛЬ ПЛАТЕЖА — ВЛАДЕЛЕЦ СПЕЦИАЛЬНОГО СЧЁТА</t>
        </is>
      </c>
      <c r="C5" s="25" t="n"/>
      <c r="D5" s="25" t="n"/>
      <c r="E5" s="25" t="n"/>
      <c r="F5" s="25" t="n"/>
      <c r="G5" s="25" t="n"/>
      <c r="H5" s="26" t="n"/>
    </row>
    <row r="6" ht="26" customHeight="1">
      <c r="B6" s="27" t="inlineStr">
        <is>
          <t>Получатель платежа</t>
        </is>
      </c>
      <c r="C6" s="28">
        <f>'ИСХОДНЫЕ ДАННЫЕ'!$C$40</f>
        <v/>
      </c>
      <c r="D6" s="28" t="n"/>
      <c r="E6" s="28" t="n"/>
      <c r="F6" s="28" t="n"/>
      <c r="G6" s="28" t="n"/>
      <c r="H6" s="29" t="n"/>
    </row>
    <row r="7" ht="14" customHeight="1">
      <c r="B7" s="30" t="inlineStr">
        <is>
          <t>Юридический адрес</t>
        </is>
      </c>
      <c r="C7" s="31">
        <f>'ИСХОДНЫЕ ДАННЫЕ'!$C$41</f>
        <v/>
      </c>
      <c r="D7" s="31" t="n"/>
      <c r="E7" s="31" t="n"/>
      <c r="F7" s="31" t="n"/>
      <c r="G7" s="31" t="n"/>
      <c r="H7" s="32" t="n"/>
    </row>
    <row r="8" ht="14" customHeight="1">
      <c r="B8" s="30" t="inlineStr">
        <is>
          <t>ИНН / КПП</t>
        </is>
      </c>
      <c r="C8" s="31">
        <f>'ИСХОДНЫЕ ДАННЫЕ'!$C$42&amp;" / "&amp;'ИСХОДНЫЕ ДАННЫЕ'!$C$43</f>
        <v/>
      </c>
      <c r="D8" s="31" t="n"/>
      <c r="E8" s="33" t="inlineStr">
        <is>
          <t>ОГРН</t>
        </is>
      </c>
      <c r="F8" s="31">
        <f>'ИСХОДНЫЕ ДАННЫЕ'!$C$44</f>
        <v/>
      </c>
      <c r="G8" s="31" t="n"/>
      <c r="H8" s="32" t="n"/>
    </row>
    <row r="9" ht="16" customHeight="1">
      <c r="B9" s="30" t="inlineStr">
        <is>
          <t>Расчётный счёт</t>
        </is>
      </c>
      <c r="C9" s="34">
        <f>'ИСХОДНЫЕ ДАННЫЕ'!$C$45&amp;"   (специальный счёт МКД: "&amp;'ИСХОДНЫЕ ДАННЫЕ'!$C$14&amp;")"</f>
        <v/>
      </c>
      <c r="D9" s="34" t="n"/>
      <c r="E9" s="34" t="n"/>
      <c r="F9" s="34" t="n"/>
      <c r="G9" s="34" t="n"/>
      <c r="H9" s="35" t="n"/>
    </row>
    <row r="10" ht="14" customHeight="1">
      <c r="B10" s="30" t="inlineStr">
        <is>
          <t>Банк</t>
        </is>
      </c>
      <c r="C10" s="31">
        <f>'ИСХОДНЫЕ ДАННЫЕ'!$C$46</f>
        <v/>
      </c>
      <c r="D10" s="31" t="n"/>
      <c r="E10" s="31" t="n"/>
      <c r="F10" s="31" t="n"/>
      <c r="G10" s="31" t="n"/>
      <c r="H10" s="32" t="n"/>
    </row>
    <row r="11" ht="14" customHeight="1">
      <c r="B11" s="36" t="inlineStr">
        <is>
          <t>Корр. счёт / БИК</t>
        </is>
      </c>
      <c r="C11" s="37">
        <f>'ИСХОДНЫЕ ДАННЫЕ'!$C$47&amp;" / "&amp;'ИСХОДНЫЕ ДАННЫЕ'!$C$48</f>
        <v/>
      </c>
      <c r="D11" s="37" t="n"/>
      <c r="E11" s="38" t="inlineStr">
        <is>
          <t>ИНН/КПП банка</t>
        </is>
      </c>
      <c r="F11" s="37">
        <f>'ИСХОДНЫЕ ДАННЫЕ'!$C$49</f>
        <v/>
      </c>
      <c r="G11" s="37" t="n"/>
      <c r="H11" s="39" t="n"/>
    </row>
    <row r="12" ht="5" customHeight="1"/>
    <row r="13" ht="16" customHeight="1">
      <c r="B13" s="24" t="inlineStr">
        <is>
          <t>2. ПЛАТЕЛЬЩИК И ПОМЕЩЕНИЕ</t>
        </is>
      </c>
      <c r="C13" s="25" t="n"/>
      <c r="D13" s="25" t="n"/>
      <c r="E13" s="25" t="n"/>
      <c r="F13" s="25" t="n"/>
      <c r="G13" s="25" t="n"/>
      <c r="H13" s="26" t="n"/>
    </row>
    <row r="14" ht="19" customHeight="1">
      <c r="B14" s="30" t="inlineStr">
        <is>
          <t>Лицевой счёт</t>
        </is>
      </c>
      <c r="C14" s="40">
        <f>'ИСХОДНЫЕ ДАННЫЕ'!$C$11</f>
        <v/>
      </c>
      <c r="D14" s="33" t="inlineStr">
        <is>
          <t>Квартира №</t>
        </is>
      </c>
      <c r="E14" s="41">
        <f>'ИСХОДНЫЕ ДАННЫЕ'!$C$12</f>
        <v/>
      </c>
      <c r="F14" s="42" t="inlineStr">
        <is>
          <t>Дата формирования</t>
        </is>
      </c>
      <c r="G14" s="43">
        <f>'ИСХОДНЫЕ ДАННЫЕ'!$E$31</f>
        <v/>
      </c>
      <c r="H14" s="44" t="n"/>
    </row>
    <row r="15" ht="17" customHeight="1">
      <c r="B15" s="30" t="inlineStr">
        <is>
          <t>Плательщик</t>
        </is>
      </c>
      <c r="C15" s="34">
        <f>'ИСХОДНЫЕ ДАННЫЕ'!$C$13</f>
        <v/>
      </c>
      <c r="D15" s="34" t="n"/>
      <c r="E15" s="34" t="n"/>
      <c r="F15" s="34" t="n"/>
      <c r="G15" s="34" t="n"/>
      <c r="H15" s="35" t="n"/>
    </row>
    <row r="16" ht="16" customHeight="1">
      <c r="B16" s="30" t="inlineStr">
        <is>
          <t>Адрес помещения</t>
        </is>
      </c>
      <c r="C16" s="31">
        <f>'ИСХОДНЫЕ ДАННЫЕ'!$C$14&amp;", кв. "&amp;'ИСХОДНЫЕ ДАННЫЕ'!$C$12</f>
        <v/>
      </c>
      <c r="D16" s="31" t="n"/>
      <c r="E16" s="31" t="n"/>
      <c r="F16" s="31" t="n"/>
      <c r="G16" s="31" t="n"/>
      <c r="H16" s="32" t="n"/>
    </row>
    <row r="17" ht="20" customHeight="1">
      <c r="B17" s="45" t="inlineStr">
        <is>
          <t>Площадь помещения, м²</t>
        </is>
      </c>
      <c r="C17" s="46">
        <f>'ИСХОДНЫЕ ДАННЫЕ'!$C$6</f>
        <v/>
      </c>
      <c r="D17" s="47" t="inlineStr">
        <is>
          <t>Размер взноса, руб./м²</t>
        </is>
      </c>
      <c r="E17" s="48">
        <f>'ИСХОДНЫЕ ДАННЫЕ'!$C$7</f>
        <v/>
      </c>
      <c r="F17" s="38" t="inlineStr">
        <is>
          <t>Период оплаты</t>
        </is>
      </c>
      <c r="G17" s="49">
        <f>"I квартал "&amp;'ИСХОДНЫЕ ДАННЫЕ'!$C$5&amp;" г."</f>
        <v/>
      </c>
      <c r="H17" s="50" t="n"/>
    </row>
    <row r="18" ht="5" customHeight="1"/>
    <row r="19" ht="16" customHeight="1">
      <c r="B19" s="24" t="inlineStr">
        <is>
          <t>3. РАСЧЁТ РАЗМЕРА ВЗНОСА И СУММЫ К ОПЛАТЕ</t>
        </is>
      </c>
      <c r="C19" s="25" t="n"/>
      <c r="D19" s="25" t="n"/>
      <c r="E19" s="25" t="n"/>
      <c r="F19" s="25" t="n"/>
      <c r="G19" s="25" t="n"/>
      <c r="H19" s="26" t="n"/>
    </row>
    <row r="20" ht="18" customHeight="1">
      <c r="B20" s="51" t="inlineStr">
        <is>
          <t>Вид платежа</t>
        </is>
      </c>
      <c r="C20" s="52" t="n"/>
      <c r="D20" s="52" t="n"/>
      <c r="E20" s="52" t="n"/>
      <c r="F20" s="52" t="inlineStr">
        <is>
          <t>Расчётный период</t>
        </is>
      </c>
      <c r="G20" s="52" t="n"/>
      <c r="H20" s="53" t="inlineStr">
        <is>
          <t>Сумма, руб.</t>
        </is>
      </c>
    </row>
    <row r="21" ht="16" customHeight="1">
      <c r="B21" s="54" t="inlineStr">
        <is>
          <t>Взнос на капитальный ремонт (площадь × размер взноса)</t>
        </is>
      </c>
      <c r="C21" s="31" t="n"/>
      <c r="D21" s="31" t="n"/>
      <c r="E21" s="31" t="n"/>
      <c r="F21" s="55">
        <f>"январь "&amp;'ИСХОДНЫЕ ДАННЫЕ'!$C$5&amp;" г."</f>
        <v/>
      </c>
      <c r="G21" s="55" t="n"/>
      <c r="H21" s="56">
        <f>'ИСХОДНЫЕ ДАННЫЕ'!$C$8</f>
        <v/>
      </c>
    </row>
    <row r="22" ht="16" customHeight="1">
      <c r="B22" s="54" t="inlineStr">
        <is>
          <t>Взнос на капитальный ремонт (площадь × размер взноса)</t>
        </is>
      </c>
      <c r="C22" s="31" t="n"/>
      <c r="D22" s="31" t="n"/>
      <c r="E22" s="31" t="n"/>
      <c r="F22" s="55">
        <f>"февраль "&amp;'ИСХОДНЫЕ ДАННЫЕ'!$C$5&amp;" г."</f>
        <v/>
      </c>
      <c r="G22" s="55" t="n"/>
      <c r="H22" s="56">
        <f>'ИСХОДНЫЕ ДАННЫЕ'!$C$8</f>
        <v/>
      </c>
    </row>
    <row r="23" ht="16" customHeight="1">
      <c r="B23" s="54" t="inlineStr">
        <is>
          <t>Взнос на капитальный ремонт (площадь × размер взноса)</t>
        </is>
      </c>
      <c r="C23" s="31" t="n"/>
      <c r="D23" s="31" t="n"/>
      <c r="E23" s="31" t="n"/>
      <c r="F23" s="55">
        <f>"март "&amp;'ИСХОДНЫЕ ДАННЫЕ'!$C$5&amp;" г."</f>
        <v/>
      </c>
      <c r="G23" s="55" t="n"/>
      <c r="H23" s="56">
        <f>'ИСХОДНЫЕ ДАННЫЕ'!$C$8</f>
        <v/>
      </c>
    </row>
    <row r="24" ht="17" customHeight="1">
      <c r="B24" s="57" t="inlineStr">
        <is>
          <t>Итого начислено за квартал</t>
        </is>
      </c>
      <c r="C24" s="58" t="n"/>
      <c r="D24" s="58" t="n"/>
      <c r="E24" s="58" t="n"/>
      <c r="F24" s="55">
        <f>"I квартал "&amp;'ИСХОДНЫЕ ДАННЫЕ'!$C$5&amp;" г."</f>
        <v/>
      </c>
      <c r="G24" s="55" t="n"/>
      <c r="H24" s="56">
        <f>ROUND(SUM(H21:H23),2)</f>
        <v/>
      </c>
    </row>
    <row r="25" ht="17" customHeight="1">
      <c r="B25" s="54" t="inlineStr">
        <is>
          <t>Задолженность (+) / переплата (−) за предыдущие периоды</t>
        </is>
      </c>
      <c r="C25" s="31" t="n"/>
      <c r="D25" s="31" t="n"/>
      <c r="E25" s="31" t="n"/>
      <c r="F25" s="59">
        <f>IF('ИСХОДНЫЕ ДАННЫЕ'!$D$31="","",'ИСХОДНЫЕ ДАННЫЕ'!$D$31)</f>
        <v/>
      </c>
      <c r="G25" s="59" t="n"/>
      <c r="H25" s="56">
        <f>'ИСХОДНЫЕ ДАННЫЕ'!$C$31</f>
        <v/>
      </c>
    </row>
    <row r="26" ht="28" customHeight="1">
      <c r="B26" s="60">
        <f>"ИТОГО К ОПЛАТЕ"&amp;IF(ROUND(H24+H25,2)&lt;=0,"      переплата зачтена, оплата за квартал не требуется","")</f>
        <v/>
      </c>
      <c r="C26" s="61" t="n"/>
      <c r="D26" s="61" t="n"/>
      <c r="E26" s="61" t="n"/>
      <c r="F26" s="61" t="n"/>
      <c r="G26" s="61" t="n"/>
      <c r="H26" s="62">
        <f>MAX(0,ROUND(H24+H25,2))</f>
        <v/>
      </c>
    </row>
    <row r="27" ht="5" customHeight="1"/>
    <row r="28" ht="16" customHeight="1">
      <c r="B28" s="24" t="inlineStr">
        <is>
          <t>4. СПРАВОЧНАЯ ИНФОРМАЦИЯ ПО СПЕЦИАЛЬНОМУ СЧЁТУ (ч. 7 ст. 177 ЖК РФ)</t>
        </is>
      </c>
      <c r="C28" s="25" t="n"/>
      <c r="D28" s="25" t="n"/>
      <c r="E28" s="25" t="n"/>
      <c r="F28" s="25" t="n"/>
      <c r="G28" s="25" t="n"/>
      <c r="H28" s="26" t="n"/>
    </row>
    <row r="29" ht="15" customHeight="1">
      <c r="B29" s="63">
        <f>"Поступило оплат по лицевому счёту с начала "&amp;'ИСХОДНЫЕ ДАННЫЕ'!$C$5&amp;" года, руб."</f>
        <v/>
      </c>
      <c r="C29" s="37" t="n"/>
      <c r="D29" s="37" t="n"/>
      <c r="E29" s="37" t="n"/>
      <c r="F29" s="37" t="n"/>
      <c r="G29" s="64">
        <f>IF('ИСХОДНЫЕ ДАННЫЕ'!$F$31="","—",'ИСХОДНЫЕ ДАННЫЕ'!$F$31)</f>
        <v/>
      </c>
      <c r="H29" s="65" t="n"/>
    </row>
    <row r="30" ht="5" customHeight="1"/>
    <row r="31" ht="16" customHeight="1">
      <c r="B31" s="24" t="inlineStr">
        <is>
          <t>5. ПОРЯДОК ОПЛАТЫ</t>
        </is>
      </c>
      <c r="C31" s="25" t="n"/>
      <c r="D31" s="25" t="n"/>
      <c r="E31" s="25" t="n"/>
      <c r="F31" s="25" t="n"/>
      <c r="G31" s="25" t="n"/>
      <c r="H31" s="26" t="n"/>
    </row>
    <row r="32" ht="14" customHeight="1">
      <c r="B32" s="66" t="inlineStr">
        <is>
          <t>1) без комиссии — в отделениях АО «Россельхозбанк» (банк, в котором открыт специальный счёт дома);</t>
        </is>
      </c>
      <c r="C32" s="67" t="n"/>
      <c r="D32" s="67" t="n"/>
      <c r="E32" s="67" t="n"/>
      <c r="F32" s="67" t="n"/>
      <c r="G32" s="68" t="n"/>
      <c r="H32" s="69" t="n"/>
    </row>
    <row r="33" ht="26" customHeight="1">
      <c r="B33" s="66" t="inlineStr">
        <is>
          <r>
            <rPr>
              <rFont val="Arial"/>
              <color rgb="00000000"/>
              <sz val="9"/>
            </rPr>
            <t xml:space="preserve">2) по тарифам банка — </t>
          </r>
          <r>
            <rPr>
              <rFont val="Arial"/>
              <b val="1"/>
              <color rgb="00000000"/>
              <sz val="9"/>
            </rPr>
            <t>только по номеру расчётного счёта</t>
          </r>
          <r>
            <rPr>
              <rFont val="Arial"/>
              <color rgb="00000000"/>
              <sz val="9"/>
            </rPr>
            <t>, указанного в разделе 1, в отделениях и мобильных приложениях ПАО Сбербанк, АО «АЛЬФА-БАНК», Банка ВТБ (ПАО), АО «ТБанк», а также любого другого банка;</t>
          </r>
        </is>
      </c>
      <c r="C33" s="67" t="n"/>
      <c r="D33" s="67" t="n"/>
      <c r="E33" s="67" t="n"/>
      <c r="F33" s="67" t="n"/>
      <c r="G33" s="68" t="n"/>
      <c r="H33" s="69" t="n"/>
    </row>
    <row r="34" ht="14" customHeight="1">
      <c r="B34" s="66" t="n"/>
      <c r="C34" s="67" t="n"/>
      <c r="D34" s="67" t="n"/>
      <c r="E34" s="67" t="n"/>
      <c r="F34" s="67" t="n"/>
      <c r="G34" s="68" t="n"/>
      <c r="H34" s="69" t="n"/>
    </row>
    <row r="35" ht="14" customHeight="1">
      <c r="B35" s="30" t="inlineStr">
        <is>
          <t>Назначение платежа:</t>
        </is>
      </c>
      <c r="C35" s="33" t="n"/>
      <c r="D35" s="33" t="n"/>
      <c r="E35" s="33" t="n"/>
      <c r="F35" s="33" t="n"/>
      <c r="G35" s="68" t="n"/>
      <c r="H35" s="69" t="n"/>
    </row>
    <row r="36" ht="30" customHeight="1">
      <c r="B36" s="66">
        <f>"Взнос на капитальный ремонт, л/с № "&amp;'ИСХОДНЫЕ ДАННЫЕ'!$C$11&amp;", кв. № "&amp;'ИСХОДНЫЕ ДАННЫЕ'!$C$12&amp;", за "&amp;"I квартал "&amp;'ИСХОДНЫЕ ДАННЫЕ'!$C$5&amp;" г."</f>
        <v/>
      </c>
      <c r="C36" s="67" t="n"/>
      <c r="D36" s="67" t="n"/>
      <c r="E36" s="67" t="n"/>
      <c r="F36" s="67" t="n"/>
      <c r="G36" s="68" t="n"/>
      <c r="H36" s="69" t="n"/>
    </row>
    <row r="37" ht="26" customHeight="1">
      <c r="B37" s="70">
        <f>"Срок оплаты: до "&amp;'ИСХОДНЫЕ ДАННЫЕ'!$C$50&amp;" числа месяца, следующего за расчётным (за "&amp;"I квартал "&amp;'ИСХОДНЫЕ ДАННЫЕ'!$C$5&amp;" г."&amp;" — до "&amp;TEXT(DAY(DATE('ИСХОДНЫЕ ДАННЫЕ'!$C$5,3+1,'ИСХОДНЫЕ ДАННЫЕ'!$C$50)),"00")&amp;"."&amp;TEXT(MONTH(DATE('ИСХОДНЫЕ ДАННЫЕ'!$C$5,3+1,'ИСХОДНЫЕ ДАННЫЕ'!$C$50)),"00")&amp;"."&amp;YEAR(DATE('ИСХОДНЫЕ ДАННЫЕ'!$C$5,3+1,'ИСХОДНЫЕ ДАННЫЕ'!$C$50))&amp;")."&amp;CHAR(10)&amp;"Основание: ч. 1 ст. 155, ч. 2 ст. 171 ЖК РФ."</f>
        <v/>
      </c>
      <c r="C37" s="71" t="n"/>
      <c r="D37" s="71" t="n"/>
      <c r="E37" s="71" t="n"/>
      <c r="F37" s="71" t="n"/>
      <c r="G37" s="71" t="n"/>
      <c r="H37" s="72" t="n"/>
    </row>
    <row r="38" ht="5" customHeight="1"/>
    <row r="39" ht="32" customHeight="1">
      <c r="B39" s="73">
        <f>"ВНИМАНИЕ! ПЛАТИТЕ ТОЛЬКО ПО НОМЕРУ РАСЧЁТНОГО СЧЁТА "&amp;'ИСХОДНЫЕ ДАННЫЕ'!$C$45&amp;" — ЭТО СПЕЦИАЛЬНЫЙ СЧЁТ ВАШЕГО ДОМА"</f>
        <v/>
      </c>
      <c r="C39" s="73" t="n"/>
      <c r="D39" s="73" t="n"/>
      <c r="E39" s="73" t="n"/>
      <c r="F39" s="73" t="n"/>
      <c r="G39" s="73" t="n"/>
      <c r="H39" s="73" t="n"/>
    </row>
    <row r="40" ht="44" customHeight="1">
      <c r="B40" s="59">
        <f>"В отделении банка и в мобильном приложении во вкладках ищите "&amp;"«РФКР МКД_капремонт, оплата по расчётному счёту» и указывайте номер расчётного счёта, приведённый выше. Оплата через общий поиск «Капитальный ремонт» уходит на общий счёт Регионального фонда капитального ремонта и на счёт вашего дома не поступает."&amp;CHAR(10)&amp;"Лицевой счёт № "&amp;'ИСХОДНЫЕ ДАННЫЕ'!$C$11&amp;" при оплате НЕ вводится — он указан справочно, только для учёта начислений."</f>
        <v/>
      </c>
      <c r="C40" s="59" t="n"/>
      <c r="D40" s="59" t="n"/>
      <c r="E40" s="59" t="n"/>
      <c r="F40" s="59" t="n"/>
      <c r="G40" s="59" t="n"/>
      <c r="H40" s="59" t="n"/>
    </row>
    <row r="41" ht="6" customHeight="1"/>
    <row r="42" ht="24" customHeight="1">
      <c r="B42" s="74" t="inlineStr">
        <is>
          <t>Подпись плательщика  ______________________</t>
        </is>
      </c>
      <c r="C42" s="74" t="n"/>
      <c r="D42" s="74" t="n"/>
      <c r="E42" s="74" t="inlineStr">
        <is>
          <t>Кассир  ______________</t>
        </is>
      </c>
      <c r="F42" s="74" t="n"/>
      <c r="G42" s="74" t="inlineStr">
        <is>
          <t>Дата  ____________</t>
        </is>
      </c>
      <c r="H42" s="74" t="n"/>
    </row>
    <row r="43" ht="22" customHeight="1">
      <c r="B43" s="75">
        <f>"Начисление за "&amp;"I квартал "&amp;'ИСХОДНЫЕ ДАННЫЕ'!$C$5&amp;" г."&amp;"    По вопросам начислений обращайтесь к председателю совета дома, тел. "&amp;'ИСХОДНЫЕ ДАННЫЕ'!$C$21&amp;"."</f>
        <v/>
      </c>
      <c r="C43" s="75" t="n"/>
      <c r="D43" s="75" t="n"/>
      <c r="E43" s="75" t="n"/>
      <c r="F43" s="75" t="n"/>
      <c r="G43" s="75" t="n"/>
      <c r="H43" s="75" t="n"/>
    </row>
  </sheetData>
  <mergeCells count="48">
    <mergeCell ref="B42:D42"/>
    <mergeCell ref="C10:H10"/>
    <mergeCell ref="C16:H16"/>
    <mergeCell ref="B40:H40"/>
    <mergeCell ref="C9:H9"/>
    <mergeCell ref="F25:G25"/>
    <mergeCell ref="G42:H42"/>
    <mergeCell ref="F8:H8"/>
    <mergeCell ref="E42:F42"/>
    <mergeCell ref="B24:E24"/>
    <mergeCell ref="B20:E20"/>
    <mergeCell ref="B5:H5"/>
    <mergeCell ref="G17:H17"/>
    <mergeCell ref="F21:G21"/>
    <mergeCell ref="F24:G24"/>
    <mergeCell ref="F20:G20"/>
    <mergeCell ref="B25:E25"/>
    <mergeCell ref="B3:E3"/>
    <mergeCell ref="C7:H7"/>
    <mergeCell ref="B22:E22"/>
    <mergeCell ref="B31:H31"/>
    <mergeCell ref="B29:F29"/>
    <mergeCell ref="B34:F34"/>
    <mergeCell ref="G32:H37"/>
    <mergeCell ref="C11:D11"/>
    <mergeCell ref="B43:H43"/>
    <mergeCell ref="B21:E21"/>
    <mergeCell ref="F23:G23"/>
    <mergeCell ref="B37:F37"/>
    <mergeCell ref="B39:H39"/>
    <mergeCell ref="B2:H2"/>
    <mergeCell ref="G14:H14"/>
    <mergeCell ref="F22:G22"/>
    <mergeCell ref="B26:G26"/>
    <mergeCell ref="F11:H11"/>
    <mergeCell ref="C8:D8"/>
    <mergeCell ref="C15:H15"/>
    <mergeCell ref="G29:H29"/>
    <mergeCell ref="C6:H6"/>
    <mergeCell ref="B23:E23"/>
    <mergeCell ref="B13:H13"/>
    <mergeCell ref="B33:F33"/>
    <mergeCell ref="B36:F36"/>
    <mergeCell ref="B32:F32"/>
    <mergeCell ref="F3:H3"/>
    <mergeCell ref="B19:H19"/>
    <mergeCell ref="B28:H28"/>
    <mergeCell ref="B35:F35"/>
  </mergeCells>
  <printOptions horizontalCentered="1"/>
  <pageMargins left="0.24" right="0.24" top="0.2" bottom="0.2" header="0.5" footer="0.5"/>
  <pageSetup orientation="portrait" paperSize="9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H43"/>
  <sheetViews>
    <sheetView showGridLines="0" workbookViewId="0">
      <selection activeCell="A1" sqref="A1"/>
    </sheetView>
  </sheetViews>
  <sheetFormatPr baseColWidth="8" defaultRowHeight="15"/>
  <cols>
    <col width="1.8" customWidth="1" min="1" max="1"/>
    <col width="20.5" customWidth="1" min="2" max="2"/>
    <col width="12.5" customWidth="1" min="3" max="3"/>
    <col width="15" customWidth="1" min="4" max="4"/>
    <col width="10.5" customWidth="1" min="5" max="5"/>
    <col width="15" customWidth="1" min="6" max="6"/>
    <col width="12" customWidth="1" min="7" max="7"/>
    <col width="14" customWidth="1" min="8" max="8"/>
    <col width="1.8" customWidth="1" min="9" max="9"/>
  </cols>
  <sheetData>
    <row r="1" ht="6" customHeight="1"/>
    <row r="2" ht="40" customHeight="1">
      <c r="B2" s="19" t="inlineStr">
        <is>
          <r>
            <rPr>
              <rFont val="Arial"/>
              <b val="1"/>
              <color rgb="00000000"/>
              <sz val="13"/>
            </rPr>
            <t xml:space="preserve">ПЛАТЁЖНЫЙ ДОКУМЕНТ (КВИТАНЦИЯ)
</t>
          </r>
          <r>
            <rPr>
              <rFont val="Arial"/>
              <b val="1"/>
              <color rgb="00000000"/>
              <sz val="9"/>
            </rPr>
            <t>на внесение взноса на капитальный ремонт общего имущества в многоквартирном доме</t>
          </r>
        </is>
      </c>
      <c r="C2" s="19" t="n"/>
      <c r="D2" s="19" t="n"/>
      <c r="E2" s="19" t="n"/>
      <c r="F2" s="19" t="n"/>
      <c r="G2" s="19" t="n"/>
      <c r="H2" s="19" t="n"/>
    </row>
    <row r="3" ht="20" customHeight="1">
      <c r="B3" s="20">
        <f>"Специальный счёт МКД · "&amp;'ИСХОДНЫЕ ДАННЫЕ'!$C$14</f>
        <v/>
      </c>
      <c r="C3" s="21" t="n"/>
      <c r="D3" s="21" t="n"/>
      <c r="E3" s="21" t="n"/>
      <c r="F3" s="22">
        <f>"Расчётный период: "&amp;"II квартал "&amp;'ИСХОДНЫЕ ДАННЫЕ'!$C$5&amp;" г."</f>
        <v/>
      </c>
      <c r="G3" s="22" t="n"/>
      <c r="H3" s="23" t="n"/>
    </row>
    <row r="4" ht="5" customHeight="1"/>
    <row r="5" ht="16" customHeight="1">
      <c r="B5" s="24" t="inlineStr">
        <is>
          <t>1. ПОЛУЧАТЕЛЬ ПЛАТЕЖА — ВЛАДЕЛЕЦ СПЕЦИАЛЬНОГО СЧЁТА</t>
        </is>
      </c>
      <c r="C5" s="25" t="n"/>
      <c r="D5" s="25" t="n"/>
      <c r="E5" s="25" t="n"/>
      <c r="F5" s="25" t="n"/>
      <c r="G5" s="25" t="n"/>
      <c r="H5" s="26" t="n"/>
    </row>
    <row r="6" ht="26" customHeight="1">
      <c r="B6" s="27" t="inlineStr">
        <is>
          <t>Получатель платежа</t>
        </is>
      </c>
      <c r="C6" s="28">
        <f>'ИСХОДНЫЕ ДАННЫЕ'!$C$40</f>
        <v/>
      </c>
      <c r="D6" s="28" t="n"/>
      <c r="E6" s="28" t="n"/>
      <c r="F6" s="28" t="n"/>
      <c r="G6" s="28" t="n"/>
      <c r="H6" s="29" t="n"/>
    </row>
    <row r="7" ht="14" customHeight="1">
      <c r="B7" s="30" t="inlineStr">
        <is>
          <t>Юридический адрес</t>
        </is>
      </c>
      <c r="C7" s="31">
        <f>'ИСХОДНЫЕ ДАННЫЕ'!$C$41</f>
        <v/>
      </c>
      <c r="D7" s="31" t="n"/>
      <c r="E7" s="31" t="n"/>
      <c r="F7" s="31" t="n"/>
      <c r="G7" s="31" t="n"/>
      <c r="H7" s="32" t="n"/>
    </row>
    <row r="8" ht="14" customHeight="1">
      <c r="B8" s="30" t="inlineStr">
        <is>
          <t>ИНН / КПП</t>
        </is>
      </c>
      <c r="C8" s="31">
        <f>'ИСХОДНЫЕ ДАННЫЕ'!$C$42&amp;" / "&amp;'ИСХОДНЫЕ ДАННЫЕ'!$C$43</f>
        <v/>
      </c>
      <c r="D8" s="31" t="n"/>
      <c r="E8" s="33" t="inlineStr">
        <is>
          <t>ОГРН</t>
        </is>
      </c>
      <c r="F8" s="31">
        <f>'ИСХОДНЫЕ ДАННЫЕ'!$C$44</f>
        <v/>
      </c>
      <c r="G8" s="31" t="n"/>
      <c r="H8" s="32" t="n"/>
    </row>
    <row r="9" ht="16" customHeight="1">
      <c r="B9" s="30" t="inlineStr">
        <is>
          <t>Расчётный счёт</t>
        </is>
      </c>
      <c r="C9" s="34">
        <f>'ИСХОДНЫЕ ДАННЫЕ'!$C$45&amp;"   (специальный счёт МКД: "&amp;'ИСХОДНЫЕ ДАННЫЕ'!$C$14&amp;")"</f>
        <v/>
      </c>
      <c r="D9" s="34" t="n"/>
      <c r="E9" s="34" t="n"/>
      <c r="F9" s="34" t="n"/>
      <c r="G9" s="34" t="n"/>
      <c r="H9" s="35" t="n"/>
    </row>
    <row r="10" ht="14" customHeight="1">
      <c r="B10" s="30" t="inlineStr">
        <is>
          <t>Банк</t>
        </is>
      </c>
      <c r="C10" s="31">
        <f>'ИСХОДНЫЕ ДАННЫЕ'!$C$46</f>
        <v/>
      </c>
      <c r="D10" s="31" t="n"/>
      <c r="E10" s="31" t="n"/>
      <c r="F10" s="31" t="n"/>
      <c r="G10" s="31" t="n"/>
      <c r="H10" s="32" t="n"/>
    </row>
    <row r="11" ht="14" customHeight="1">
      <c r="B11" s="36" t="inlineStr">
        <is>
          <t>Корр. счёт / БИК</t>
        </is>
      </c>
      <c r="C11" s="37">
        <f>'ИСХОДНЫЕ ДАННЫЕ'!$C$47&amp;" / "&amp;'ИСХОДНЫЕ ДАННЫЕ'!$C$48</f>
        <v/>
      </c>
      <c r="D11" s="37" t="n"/>
      <c r="E11" s="38" t="inlineStr">
        <is>
          <t>ИНН/КПП банка</t>
        </is>
      </c>
      <c r="F11" s="37">
        <f>'ИСХОДНЫЕ ДАННЫЕ'!$C$49</f>
        <v/>
      </c>
      <c r="G11" s="37" t="n"/>
      <c r="H11" s="39" t="n"/>
    </row>
    <row r="12" ht="5" customHeight="1"/>
    <row r="13" ht="16" customHeight="1">
      <c r="B13" s="24" t="inlineStr">
        <is>
          <t>2. ПЛАТЕЛЬЩИК И ПОМЕЩЕНИЕ</t>
        </is>
      </c>
      <c r="C13" s="25" t="n"/>
      <c r="D13" s="25" t="n"/>
      <c r="E13" s="25" t="n"/>
      <c r="F13" s="25" t="n"/>
      <c r="G13" s="25" t="n"/>
      <c r="H13" s="26" t="n"/>
    </row>
    <row r="14" ht="19" customHeight="1">
      <c r="B14" s="30" t="inlineStr">
        <is>
          <t>Лицевой счёт</t>
        </is>
      </c>
      <c r="C14" s="40">
        <f>'ИСХОДНЫЕ ДАННЫЕ'!$C$11</f>
        <v/>
      </c>
      <c r="D14" s="33" t="inlineStr">
        <is>
          <t>Квартира №</t>
        </is>
      </c>
      <c r="E14" s="41">
        <f>'ИСХОДНЫЕ ДАННЫЕ'!$C$12</f>
        <v/>
      </c>
      <c r="F14" s="42" t="inlineStr">
        <is>
          <t>Дата формирования</t>
        </is>
      </c>
      <c r="G14" s="43">
        <f>'ИСХОДНЫЕ ДАННЫЕ'!$E$32</f>
        <v/>
      </c>
      <c r="H14" s="44" t="n"/>
    </row>
    <row r="15" ht="17" customHeight="1">
      <c r="B15" s="30" t="inlineStr">
        <is>
          <t>Плательщик</t>
        </is>
      </c>
      <c r="C15" s="34">
        <f>'ИСХОДНЫЕ ДАННЫЕ'!$C$13</f>
        <v/>
      </c>
      <c r="D15" s="34" t="n"/>
      <c r="E15" s="34" t="n"/>
      <c r="F15" s="34" t="n"/>
      <c r="G15" s="34" t="n"/>
      <c r="H15" s="35" t="n"/>
    </row>
    <row r="16" ht="16" customHeight="1">
      <c r="B16" s="30" t="inlineStr">
        <is>
          <t>Адрес помещения</t>
        </is>
      </c>
      <c r="C16" s="31">
        <f>'ИСХОДНЫЕ ДАННЫЕ'!$C$14&amp;", кв. "&amp;'ИСХОДНЫЕ ДАННЫЕ'!$C$12</f>
        <v/>
      </c>
      <c r="D16" s="31" t="n"/>
      <c r="E16" s="31" t="n"/>
      <c r="F16" s="31" t="n"/>
      <c r="G16" s="31" t="n"/>
      <c r="H16" s="32" t="n"/>
    </row>
    <row r="17" ht="20" customHeight="1">
      <c r="B17" s="45" t="inlineStr">
        <is>
          <t>Площадь помещения, м²</t>
        </is>
      </c>
      <c r="C17" s="46">
        <f>'ИСХОДНЫЕ ДАННЫЕ'!$C$6</f>
        <v/>
      </c>
      <c r="D17" s="47" t="inlineStr">
        <is>
          <t>Размер взноса, руб./м²</t>
        </is>
      </c>
      <c r="E17" s="48">
        <f>'ИСХОДНЫЕ ДАННЫЕ'!$C$7</f>
        <v/>
      </c>
      <c r="F17" s="38" t="inlineStr">
        <is>
          <t>Период оплаты</t>
        </is>
      </c>
      <c r="G17" s="49">
        <f>"II квартал "&amp;'ИСХОДНЫЕ ДАННЫЕ'!$C$5&amp;" г."</f>
        <v/>
      </c>
      <c r="H17" s="50" t="n"/>
    </row>
    <row r="18" ht="5" customHeight="1"/>
    <row r="19" ht="16" customHeight="1">
      <c r="B19" s="24" t="inlineStr">
        <is>
          <t>3. РАСЧЁТ РАЗМЕРА ВЗНОСА И СУММЫ К ОПЛАТЕ</t>
        </is>
      </c>
      <c r="C19" s="25" t="n"/>
      <c r="D19" s="25" t="n"/>
      <c r="E19" s="25" t="n"/>
      <c r="F19" s="25" t="n"/>
      <c r="G19" s="25" t="n"/>
      <c r="H19" s="26" t="n"/>
    </row>
    <row r="20" ht="18" customHeight="1">
      <c r="B20" s="51" t="inlineStr">
        <is>
          <t>Вид платежа</t>
        </is>
      </c>
      <c r="C20" s="52" t="n"/>
      <c r="D20" s="52" t="n"/>
      <c r="E20" s="52" t="n"/>
      <c r="F20" s="52" t="inlineStr">
        <is>
          <t>Расчётный период</t>
        </is>
      </c>
      <c r="G20" s="52" t="n"/>
      <c r="H20" s="53" t="inlineStr">
        <is>
          <t>Сумма, руб.</t>
        </is>
      </c>
    </row>
    <row r="21" ht="16" customHeight="1">
      <c r="B21" s="54" t="inlineStr">
        <is>
          <t>Взнос на капитальный ремонт (площадь × размер взноса)</t>
        </is>
      </c>
      <c r="C21" s="31" t="n"/>
      <c r="D21" s="31" t="n"/>
      <c r="E21" s="31" t="n"/>
      <c r="F21" s="55">
        <f>"апрель "&amp;'ИСХОДНЫЕ ДАННЫЕ'!$C$5&amp;" г."</f>
        <v/>
      </c>
      <c r="G21" s="55" t="n"/>
      <c r="H21" s="56">
        <f>'ИСХОДНЫЕ ДАННЫЕ'!$C$8</f>
        <v/>
      </c>
    </row>
    <row r="22" ht="16" customHeight="1">
      <c r="B22" s="54" t="inlineStr">
        <is>
          <t>Взнос на капитальный ремонт (площадь × размер взноса)</t>
        </is>
      </c>
      <c r="C22" s="31" t="n"/>
      <c r="D22" s="31" t="n"/>
      <c r="E22" s="31" t="n"/>
      <c r="F22" s="55">
        <f>"май "&amp;'ИСХОДНЫЕ ДАННЫЕ'!$C$5&amp;" г."</f>
        <v/>
      </c>
      <c r="G22" s="55" t="n"/>
      <c r="H22" s="56">
        <f>'ИСХОДНЫЕ ДАННЫЕ'!$C$8</f>
        <v/>
      </c>
    </row>
    <row r="23" ht="16" customHeight="1">
      <c r="B23" s="54" t="inlineStr">
        <is>
          <t>Взнос на капитальный ремонт (площадь × размер взноса)</t>
        </is>
      </c>
      <c r="C23" s="31" t="n"/>
      <c r="D23" s="31" t="n"/>
      <c r="E23" s="31" t="n"/>
      <c r="F23" s="55">
        <f>"июнь "&amp;'ИСХОДНЫЕ ДАННЫЕ'!$C$5&amp;" г."</f>
        <v/>
      </c>
      <c r="G23" s="55" t="n"/>
      <c r="H23" s="56">
        <f>'ИСХОДНЫЕ ДАННЫЕ'!$C$8</f>
        <v/>
      </c>
    </row>
    <row r="24" ht="17" customHeight="1">
      <c r="B24" s="57" t="inlineStr">
        <is>
          <t>Итого начислено за квартал</t>
        </is>
      </c>
      <c r="C24" s="58" t="n"/>
      <c r="D24" s="58" t="n"/>
      <c r="E24" s="58" t="n"/>
      <c r="F24" s="55">
        <f>"II квартал "&amp;'ИСХОДНЫЕ ДАННЫЕ'!$C$5&amp;" г."</f>
        <v/>
      </c>
      <c r="G24" s="55" t="n"/>
      <c r="H24" s="56">
        <f>ROUND(SUM(H21:H23),2)</f>
        <v/>
      </c>
    </row>
    <row r="25" ht="17" customHeight="1">
      <c r="B25" s="54" t="inlineStr">
        <is>
          <t>Задолженность (+) / переплата (−) за предыдущие периоды</t>
        </is>
      </c>
      <c r="C25" s="31" t="n"/>
      <c r="D25" s="31" t="n"/>
      <c r="E25" s="31" t="n"/>
      <c r="F25" s="59">
        <f>IF('ИСХОДНЫЕ ДАННЫЕ'!$D$32="","",'ИСХОДНЫЕ ДАННЫЕ'!$D$32)</f>
        <v/>
      </c>
      <c r="G25" s="59" t="n"/>
      <c r="H25" s="56">
        <f>'ИСХОДНЫЕ ДАННЫЕ'!$C$32</f>
        <v/>
      </c>
    </row>
    <row r="26" ht="28" customHeight="1">
      <c r="B26" s="60">
        <f>"ИТОГО К ОПЛАТЕ"&amp;IF(ROUND(H24+H25,2)&lt;=0,"      переплата зачтена, оплата за квартал не требуется","")</f>
        <v/>
      </c>
      <c r="C26" s="61" t="n"/>
      <c r="D26" s="61" t="n"/>
      <c r="E26" s="61" t="n"/>
      <c r="F26" s="61" t="n"/>
      <c r="G26" s="61" t="n"/>
      <c r="H26" s="62">
        <f>MAX(0,ROUND(H24+H25,2))</f>
        <v/>
      </c>
    </row>
    <row r="27" ht="5" customHeight="1"/>
    <row r="28" ht="16" customHeight="1">
      <c r="B28" s="24" t="inlineStr">
        <is>
          <t>4. СПРАВОЧНАЯ ИНФОРМАЦИЯ ПО СПЕЦИАЛЬНОМУ СЧЁТУ (ч. 7 ст. 177 ЖК РФ)</t>
        </is>
      </c>
      <c r="C28" s="25" t="n"/>
      <c r="D28" s="25" t="n"/>
      <c r="E28" s="25" t="n"/>
      <c r="F28" s="25" t="n"/>
      <c r="G28" s="25" t="n"/>
      <c r="H28" s="26" t="n"/>
    </row>
    <row r="29" ht="15" customHeight="1">
      <c r="B29" s="63">
        <f>"Поступило оплат по лицевому счёту с начала "&amp;'ИСХОДНЫЕ ДАННЫЕ'!$C$5&amp;" года, руб."</f>
        <v/>
      </c>
      <c r="C29" s="37" t="n"/>
      <c r="D29" s="37" t="n"/>
      <c r="E29" s="37" t="n"/>
      <c r="F29" s="37" t="n"/>
      <c r="G29" s="64">
        <f>IF('ИСХОДНЫЕ ДАННЫЕ'!$F$32="","—",'ИСХОДНЫЕ ДАННЫЕ'!$F$32)</f>
        <v/>
      </c>
      <c r="H29" s="65" t="n"/>
    </row>
    <row r="30" ht="5" customHeight="1"/>
    <row r="31" ht="16" customHeight="1">
      <c r="B31" s="24" t="inlineStr">
        <is>
          <t>5. ПОРЯДОК ОПЛАТЫ</t>
        </is>
      </c>
      <c r="C31" s="25" t="n"/>
      <c r="D31" s="25" t="n"/>
      <c r="E31" s="25" t="n"/>
      <c r="F31" s="25" t="n"/>
      <c r="G31" s="25" t="n"/>
      <c r="H31" s="26" t="n"/>
    </row>
    <row r="32" ht="14" customHeight="1">
      <c r="B32" s="66" t="inlineStr">
        <is>
          <t>1) без комиссии — в отделениях АО «Россельхозбанк» (банк, в котором открыт специальный счёт дома);</t>
        </is>
      </c>
      <c r="C32" s="67" t="n"/>
      <c r="D32" s="67" t="n"/>
      <c r="E32" s="67" t="n"/>
      <c r="F32" s="67" t="n"/>
      <c r="G32" s="68" t="n"/>
      <c r="H32" s="69" t="n"/>
    </row>
    <row r="33" ht="26" customHeight="1">
      <c r="B33" s="66" t="inlineStr">
        <is>
          <r>
            <rPr>
              <rFont val="Arial"/>
              <color rgb="00000000"/>
              <sz val="9"/>
            </rPr>
            <t xml:space="preserve">2) по тарифам банка — </t>
          </r>
          <r>
            <rPr>
              <rFont val="Arial"/>
              <b val="1"/>
              <color rgb="00000000"/>
              <sz val="9"/>
            </rPr>
            <t>только по номеру расчётного счёта</t>
          </r>
          <r>
            <rPr>
              <rFont val="Arial"/>
              <color rgb="00000000"/>
              <sz val="9"/>
            </rPr>
            <t>, указанного в разделе 1, в отделениях и мобильных приложениях ПАО Сбербанк, АО «АЛЬФА-БАНК», Банка ВТБ (ПАО), АО «ТБанк», а также любого другого банка;</t>
          </r>
        </is>
      </c>
      <c r="C33" s="67" t="n"/>
      <c r="D33" s="67" t="n"/>
      <c r="E33" s="67" t="n"/>
      <c r="F33" s="67" t="n"/>
      <c r="G33" s="68" t="n"/>
      <c r="H33" s="69" t="n"/>
    </row>
    <row r="34" ht="14" customHeight="1">
      <c r="B34" s="66" t="n"/>
      <c r="C34" s="67" t="n"/>
      <c r="D34" s="67" t="n"/>
      <c r="E34" s="67" t="n"/>
      <c r="F34" s="67" t="n"/>
      <c r="G34" s="68" t="n"/>
      <c r="H34" s="69" t="n"/>
    </row>
    <row r="35" ht="14" customHeight="1">
      <c r="B35" s="30" t="inlineStr">
        <is>
          <t>Назначение платежа:</t>
        </is>
      </c>
      <c r="C35" s="33" t="n"/>
      <c r="D35" s="33" t="n"/>
      <c r="E35" s="33" t="n"/>
      <c r="F35" s="33" t="n"/>
      <c r="G35" s="68" t="n"/>
      <c r="H35" s="69" t="n"/>
    </row>
    <row r="36" ht="30" customHeight="1">
      <c r="B36" s="66">
        <f>"Взнос на капитальный ремонт, л/с № "&amp;'ИСХОДНЫЕ ДАННЫЕ'!$C$11&amp;", кв. № "&amp;'ИСХОДНЫЕ ДАННЫЕ'!$C$12&amp;", за "&amp;"II квартал "&amp;'ИСХОДНЫЕ ДАННЫЕ'!$C$5&amp;" г."</f>
        <v/>
      </c>
      <c r="C36" s="67" t="n"/>
      <c r="D36" s="67" t="n"/>
      <c r="E36" s="67" t="n"/>
      <c r="F36" s="67" t="n"/>
      <c r="G36" s="68" t="n"/>
      <c r="H36" s="69" t="n"/>
    </row>
    <row r="37" ht="26" customHeight="1">
      <c r="B37" s="70">
        <f>"Срок оплаты: до "&amp;'ИСХОДНЫЕ ДАННЫЕ'!$C$50&amp;" числа месяца, следующего за расчётным (за "&amp;"II квартал "&amp;'ИСХОДНЫЕ ДАННЫЕ'!$C$5&amp;" г."&amp;" — до "&amp;TEXT(DAY(DATE('ИСХОДНЫЕ ДАННЫЕ'!$C$5,6+1,'ИСХОДНЫЕ ДАННЫЕ'!$C$50)),"00")&amp;"."&amp;TEXT(MONTH(DATE('ИСХОДНЫЕ ДАННЫЕ'!$C$5,6+1,'ИСХОДНЫЕ ДАННЫЕ'!$C$50)),"00")&amp;"."&amp;YEAR(DATE('ИСХОДНЫЕ ДАННЫЕ'!$C$5,6+1,'ИСХОДНЫЕ ДАННЫЕ'!$C$50))&amp;")."&amp;CHAR(10)&amp;"Основание: ч. 1 ст. 155, ч. 2 ст. 171 ЖК РФ."</f>
        <v/>
      </c>
      <c r="C37" s="71" t="n"/>
      <c r="D37" s="71" t="n"/>
      <c r="E37" s="71" t="n"/>
      <c r="F37" s="71" t="n"/>
      <c r="G37" s="71" t="n"/>
      <c r="H37" s="72" t="n"/>
    </row>
    <row r="38" ht="5" customHeight="1"/>
    <row r="39" ht="32" customHeight="1">
      <c r="B39" s="73">
        <f>"ВНИМАНИЕ! ПЛАТИТЕ ТОЛЬКО ПО НОМЕРУ РАСЧЁТНОГО СЧЁТА "&amp;'ИСХОДНЫЕ ДАННЫЕ'!$C$45&amp;" — ЭТО СПЕЦИАЛЬНЫЙ СЧЁТ ВАШЕГО ДОМА"</f>
        <v/>
      </c>
      <c r="C39" s="73" t="n"/>
      <c r="D39" s="73" t="n"/>
      <c r="E39" s="73" t="n"/>
      <c r="F39" s="73" t="n"/>
      <c r="G39" s="73" t="n"/>
      <c r="H39" s="73" t="n"/>
    </row>
    <row r="40" ht="44" customHeight="1">
      <c r="B40" s="59">
        <f>"В отделении банка и в мобильном приложении во вкладках ищите "&amp;"«РФКР МКД_капремонт, оплата по расчётному счёту» и указывайте номер расчётного счёта, приведённый выше. Оплата через общий поиск «Капитальный ремонт» уходит на общий счёт Регионального фонда капитального ремонта и на счёт вашего дома не поступает."&amp;CHAR(10)&amp;"Лицевой счёт № "&amp;'ИСХОДНЫЕ ДАННЫЕ'!$C$11&amp;" при оплате НЕ вводится — он указан справочно, только для учёта начислений."</f>
        <v/>
      </c>
      <c r="C40" s="59" t="n"/>
      <c r="D40" s="59" t="n"/>
      <c r="E40" s="59" t="n"/>
      <c r="F40" s="59" t="n"/>
      <c r="G40" s="59" t="n"/>
      <c r="H40" s="59" t="n"/>
    </row>
    <row r="41" ht="6" customHeight="1"/>
    <row r="42" ht="24" customHeight="1">
      <c r="B42" s="74" t="inlineStr">
        <is>
          <t>Подпись плательщика  ______________________</t>
        </is>
      </c>
      <c r="C42" s="74" t="n"/>
      <c r="D42" s="74" t="n"/>
      <c r="E42" s="74" t="inlineStr">
        <is>
          <t>Кассир  ______________</t>
        </is>
      </c>
      <c r="F42" s="74" t="n"/>
      <c r="G42" s="74" t="inlineStr">
        <is>
          <t>Дата  ____________</t>
        </is>
      </c>
      <c r="H42" s="74" t="n"/>
    </row>
    <row r="43" ht="22" customHeight="1">
      <c r="B43" s="75">
        <f>"Начисление за "&amp;"II квартал "&amp;'ИСХОДНЫЕ ДАННЫЕ'!$C$5&amp;" г."&amp;"    По вопросам начислений обращайтесь к председателю совета дома, тел. "&amp;'ИСХОДНЫЕ ДАННЫЕ'!$C$21&amp;"."</f>
        <v/>
      </c>
      <c r="C43" s="75" t="n"/>
      <c r="D43" s="75" t="n"/>
      <c r="E43" s="75" t="n"/>
      <c r="F43" s="75" t="n"/>
      <c r="G43" s="75" t="n"/>
      <c r="H43" s="75" t="n"/>
    </row>
  </sheetData>
  <mergeCells count="48">
    <mergeCell ref="B42:D42"/>
    <mergeCell ref="C10:H10"/>
    <mergeCell ref="C16:H16"/>
    <mergeCell ref="B40:H40"/>
    <mergeCell ref="C9:H9"/>
    <mergeCell ref="F25:G25"/>
    <mergeCell ref="G42:H42"/>
    <mergeCell ref="F8:H8"/>
    <mergeCell ref="E42:F42"/>
    <mergeCell ref="B24:E24"/>
    <mergeCell ref="B20:E20"/>
    <mergeCell ref="B5:H5"/>
    <mergeCell ref="G17:H17"/>
    <mergeCell ref="F21:G21"/>
    <mergeCell ref="F24:G24"/>
    <mergeCell ref="F20:G20"/>
    <mergeCell ref="B25:E25"/>
    <mergeCell ref="B3:E3"/>
    <mergeCell ref="C7:H7"/>
    <mergeCell ref="B22:E22"/>
    <mergeCell ref="B31:H31"/>
    <mergeCell ref="B29:F29"/>
    <mergeCell ref="B34:F34"/>
    <mergeCell ref="G32:H37"/>
    <mergeCell ref="C11:D11"/>
    <mergeCell ref="B43:H43"/>
    <mergeCell ref="B21:E21"/>
    <mergeCell ref="F23:G23"/>
    <mergeCell ref="B37:F37"/>
    <mergeCell ref="B39:H39"/>
    <mergeCell ref="B2:H2"/>
    <mergeCell ref="G14:H14"/>
    <mergeCell ref="F22:G22"/>
    <mergeCell ref="B26:G26"/>
    <mergeCell ref="F11:H11"/>
    <mergeCell ref="C8:D8"/>
    <mergeCell ref="C15:H15"/>
    <mergeCell ref="G29:H29"/>
    <mergeCell ref="C6:H6"/>
    <mergeCell ref="B23:E23"/>
    <mergeCell ref="B13:H13"/>
    <mergeCell ref="B33:F33"/>
    <mergeCell ref="B36:F36"/>
    <mergeCell ref="B32:F32"/>
    <mergeCell ref="F3:H3"/>
    <mergeCell ref="B19:H19"/>
    <mergeCell ref="B28:H28"/>
    <mergeCell ref="B35:F35"/>
  </mergeCells>
  <printOptions horizontalCentered="1"/>
  <pageMargins left="0.24" right="0.24" top="0.2" bottom="0.2" header="0.5" footer="0.5"/>
  <pageSetup orientation="portrait" paperSize="9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B2:H43"/>
  <sheetViews>
    <sheetView showGridLines="0" workbookViewId="0">
      <selection activeCell="A1" sqref="A1"/>
    </sheetView>
  </sheetViews>
  <sheetFormatPr baseColWidth="8" defaultRowHeight="15"/>
  <cols>
    <col width="1.8" customWidth="1" min="1" max="1"/>
    <col width="20.5" customWidth="1" min="2" max="2"/>
    <col width="12.5" customWidth="1" min="3" max="3"/>
    <col width="15" customWidth="1" min="4" max="4"/>
    <col width="10.5" customWidth="1" min="5" max="5"/>
    <col width="15" customWidth="1" min="6" max="6"/>
    <col width="12" customWidth="1" min="7" max="7"/>
    <col width="14" customWidth="1" min="8" max="8"/>
    <col width="1.8" customWidth="1" min="9" max="9"/>
  </cols>
  <sheetData>
    <row r="1" ht="6" customHeight="1"/>
    <row r="2" ht="40" customHeight="1">
      <c r="B2" s="19" t="inlineStr">
        <is>
          <r>
            <rPr>
              <rFont val="Arial"/>
              <b val="1"/>
              <color rgb="00000000"/>
              <sz val="13"/>
            </rPr>
            <t xml:space="preserve">ПЛАТЁЖНЫЙ ДОКУМЕНТ (КВИТАНЦИЯ)
</t>
          </r>
          <r>
            <rPr>
              <rFont val="Arial"/>
              <b val="1"/>
              <color rgb="00000000"/>
              <sz val="9"/>
            </rPr>
            <t>на внесение взноса на капитальный ремонт общего имущества в многоквартирном доме</t>
          </r>
        </is>
      </c>
      <c r="C2" s="19" t="n"/>
      <c r="D2" s="19" t="n"/>
      <c r="E2" s="19" t="n"/>
      <c r="F2" s="19" t="n"/>
      <c r="G2" s="19" t="n"/>
      <c r="H2" s="19" t="n"/>
    </row>
    <row r="3" ht="20" customHeight="1">
      <c r="B3" s="20">
        <f>"Специальный счёт МКД · "&amp;'ИСХОДНЫЕ ДАННЫЕ'!$C$14</f>
        <v/>
      </c>
      <c r="C3" s="21" t="n"/>
      <c r="D3" s="21" t="n"/>
      <c r="E3" s="21" t="n"/>
      <c r="F3" s="22">
        <f>"Расчётный период: "&amp;"III квартал "&amp;'ИСХОДНЫЕ ДАННЫЕ'!$C$5&amp;" г."</f>
        <v/>
      </c>
      <c r="G3" s="22" t="n"/>
      <c r="H3" s="23" t="n"/>
    </row>
    <row r="4" ht="5" customHeight="1"/>
    <row r="5" ht="16" customHeight="1">
      <c r="B5" s="24" t="inlineStr">
        <is>
          <t>1. ПОЛУЧАТЕЛЬ ПЛАТЕЖА — ВЛАДЕЛЕЦ СПЕЦИАЛЬНОГО СЧЁТА</t>
        </is>
      </c>
      <c r="C5" s="25" t="n"/>
      <c r="D5" s="25" t="n"/>
      <c r="E5" s="25" t="n"/>
      <c r="F5" s="25" t="n"/>
      <c r="G5" s="25" t="n"/>
      <c r="H5" s="26" t="n"/>
    </row>
    <row r="6" ht="26" customHeight="1">
      <c r="B6" s="27" t="inlineStr">
        <is>
          <t>Получатель платежа</t>
        </is>
      </c>
      <c r="C6" s="28">
        <f>'ИСХОДНЫЕ ДАННЫЕ'!$C$40</f>
        <v/>
      </c>
      <c r="D6" s="28" t="n"/>
      <c r="E6" s="28" t="n"/>
      <c r="F6" s="28" t="n"/>
      <c r="G6" s="28" t="n"/>
      <c r="H6" s="29" t="n"/>
    </row>
    <row r="7" ht="14" customHeight="1">
      <c r="B7" s="30" t="inlineStr">
        <is>
          <t>Юридический адрес</t>
        </is>
      </c>
      <c r="C7" s="31">
        <f>'ИСХОДНЫЕ ДАННЫЕ'!$C$41</f>
        <v/>
      </c>
      <c r="D7" s="31" t="n"/>
      <c r="E7" s="31" t="n"/>
      <c r="F7" s="31" t="n"/>
      <c r="G7" s="31" t="n"/>
      <c r="H7" s="32" t="n"/>
    </row>
    <row r="8" ht="14" customHeight="1">
      <c r="B8" s="30" t="inlineStr">
        <is>
          <t>ИНН / КПП</t>
        </is>
      </c>
      <c r="C8" s="31">
        <f>'ИСХОДНЫЕ ДАННЫЕ'!$C$42&amp;" / "&amp;'ИСХОДНЫЕ ДАННЫЕ'!$C$43</f>
        <v/>
      </c>
      <c r="D8" s="31" t="n"/>
      <c r="E8" s="33" t="inlineStr">
        <is>
          <t>ОГРН</t>
        </is>
      </c>
      <c r="F8" s="31">
        <f>'ИСХОДНЫЕ ДАННЫЕ'!$C$44</f>
        <v/>
      </c>
      <c r="G8" s="31" t="n"/>
      <c r="H8" s="32" t="n"/>
    </row>
    <row r="9" ht="16" customHeight="1">
      <c r="B9" s="30" t="inlineStr">
        <is>
          <t>Расчётный счёт</t>
        </is>
      </c>
      <c r="C9" s="34">
        <f>'ИСХОДНЫЕ ДАННЫЕ'!$C$45&amp;"   (специальный счёт МКД: "&amp;'ИСХОДНЫЕ ДАННЫЕ'!$C$14&amp;")"</f>
        <v/>
      </c>
      <c r="D9" s="34" t="n"/>
      <c r="E9" s="34" t="n"/>
      <c r="F9" s="34" t="n"/>
      <c r="G9" s="34" t="n"/>
      <c r="H9" s="35" t="n"/>
    </row>
    <row r="10" ht="14" customHeight="1">
      <c r="B10" s="30" t="inlineStr">
        <is>
          <t>Банк</t>
        </is>
      </c>
      <c r="C10" s="31">
        <f>'ИСХОДНЫЕ ДАННЫЕ'!$C$46</f>
        <v/>
      </c>
      <c r="D10" s="31" t="n"/>
      <c r="E10" s="31" t="n"/>
      <c r="F10" s="31" t="n"/>
      <c r="G10" s="31" t="n"/>
      <c r="H10" s="32" t="n"/>
    </row>
    <row r="11" ht="14" customHeight="1">
      <c r="B11" s="36" t="inlineStr">
        <is>
          <t>Корр. счёт / БИК</t>
        </is>
      </c>
      <c r="C11" s="37">
        <f>'ИСХОДНЫЕ ДАННЫЕ'!$C$47&amp;" / "&amp;'ИСХОДНЫЕ ДАННЫЕ'!$C$48</f>
        <v/>
      </c>
      <c r="D11" s="37" t="n"/>
      <c r="E11" s="38" t="inlineStr">
        <is>
          <t>ИНН/КПП банка</t>
        </is>
      </c>
      <c r="F11" s="37">
        <f>'ИСХОДНЫЕ ДАННЫЕ'!$C$49</f>
        <v/>
      </c>
      <c r="G11" s="37" t="n"/>
      <c r="H11" s="39" t="n"/>
    </row>
    <row r="12" ht="5" customHeight="1"/>
    <row r="13" ht="16" customHeight="1">
      <c r="B13" s="24" t="inlineStr">
        <is>
          <t>2. ПЛАТЕЛЬЩИК И ПОМЕЩЕНИЕ</t>
        </is>
      </c>
      <c r="C13" s="25" t="n"/>
      <c r="D13" s="25" t="n"/>
      <c r="E13" s="25" t="n"/>
      <c r="F13" s="25" t="n"/>
      <c r="G13" s="25" t="n"/>
      <c r="H13" s="26" t="n"/>
    </row>
    <row r="14" ht="19" customHeight="1">
      <c r="B14" s="30" t="inlineStr">
        <is>
          <t>Лицевой счёт</t>
        </is>
      </c>
      <c r="C14" s="40">
        <f>'ИСХОДНЫЕ ДАННЫЕ'!$C$11</f>
        <v/>
      </c>
      <c r="D14" s="33" t="inlineStr">
        <is>
          <t>Квартира №</t>
        </is>
      </c>
      <c r="E14" s="41">
        <f>'ИСХОДНЫЕ ДАННЫЕ'!$C$12</f>
        <v/>
      </c>
      <c r="F14" s="42" t="inlineStr">
        <is>
          <t>Дата формирования</t>
        </is>
      </c>
      <c r="G14" s="43">
        <f>'ИСХОДНЫЕ ДАННЫЕ'!$E$33</f>
        <v/>
      </c>
      <c r="H14" s="44" t="n"/>
    </row>
    <row r="15" ht="17" customHeight="1">
      <c r="B15" s="30" t="inlineStr">
        <is>
          <t>Плательщик</t>
        </is>
      </c>
      <c r="C15" s="34">
        <f>'ИСХОДНЫЕ ДАННЫЕ'!$C$13</f>
        <v/>
      </c>
      <c r="D15" s="34" t="n"/>
      <c r="E15" s="34" t="n"/>
      <c r="F15" s="34" t="n"/>
      <c r="G15" s="34" t="n"/>
      <c r="H15" s="35" t="n"/>
    </row>
    <row r="16" ht="16" customHeight="1">
      <c r="B16" s="30" t="inlineStr">
        <is>
          <t>Адрес помещения</t>
        </is>
      </c>
      <c r="C16" s="31">
        <f>'ИСХОДНЫЕ ДАННЫЕ'!$C$14&amp;", кв. "&amp;'ИСХОДНЫЕ ДАННЫЕ'!$C$12</f>
        <v/>
      </c>
      <c r="D16" s="31" t="n"/>
      <c r="E16" s="31" t="n"/>
      <c r="F16" s="31" t="n"/>
      <c r="G16" s="31" t="n"/>
      <c r="H16" s="32" t="n"/>
    </row>
    <row r="17" ht="20" customHeight="1">
      <c r="B17" s="45" t="inlineStr">
        <is>
          <t>Площадь помещения, м²</t>
        </is>
      </c>
      <c r="C17" s="46">
        <f>'ИСХОДНЫЕ ДАННЫЕ'!$C$6</f>
        <v/>
      </c>
      <c r="D17" s="47" t="inlineStr">
        <is>
          <t>Размер взноса, руб./м²</t>
        </is>
      </c>
      <c r="E17" s="48">
        <f>'ИСХОДНЫЕ ДАННЫЕ'!$C$7</f>
        <v/>
      </c>
      <c r="F17" s="38" t="inlineStr">
        <is>
          <t>Период оплаты</t>
        </is>
      </c>
      <c r="G17" s="49">
        <f>"III квартал "&amp;'ИСХОДНЫЕ ДАННЫЕ'!$C$5&amp;" г."</f>
        <v/>
      </c>
      <c r="H17" s="50" t="n"/>
    </row>
    <row r="18" ht="5" customHeight="1"/>
    <row r="19" ht="16" customHeight="1">
      <c r="B19" s="24" t="inlineStr">
        <is>
          <t>3. РАСЧЁТ РАЗМЕРА ВЗНОСА И СУММЫ К ОПЛАТЕ</t>
        </is>
      </c>
      <c r="C19" s="25" t="n"/>
      <c r="D19" s="25" t="n"/>
      <c r="E19" s="25" t="n"/>
      <c r="F19" s="25" t="n"/>
      <c r="G19" s="25" t="n"/>
      <c r="H19" s="26" t="n"/>
    </row>
    <row r="20" ht="18" customHeight="1">
      <c r="B20" s="51" t="inlineStr">
        <is>
          <t>Вид платежа</t>
        </is>
      </c>
      <c r="C20" s="52" t="n"/>
      <c r="D20" s="52" t="n"/>
      <c r="E20" s="52" t="n"/>
      <c r="F20" s="52" t="inlineStr">
        <is>
          <t>Расчётный период</t>
        </is>
      </c>
      <c r="G20" s="52" t="n"/>
      <c r="H20" s="53" t="inlineStr">
        <is>
          <t>Сумма, руб.</t>
        </is>
      </c>
    </row>
    <row r="21" ht="16" customHeight="1">
      <c r="B21" s="54" t="inlineStr">
        <is>
          <t>Взнос на капитальный ремонт (площадь × размер взноса)</t>
        </is>
      </c>
      <c r="C21" s="31" t="n"/>
      <c r="D21" s="31" t="n"/>
      <c r="E21" s="31" t="n"/>
      <c r="F21" s="55">
        <f>"июль "&amp;'ИСХОДНЫЕ ДАННЫЕ'!$C$5&amp;" г."</f>
        <v/>
      </c>
      <c r="G21" s="55" t="n"/>
      <c r="H21" s="56">
        <f>'ИСХОДНЫЕ ДАННЫЕ'!$C$8</f>
        <v/>
      </c>
    </row>
    <row r="22" ht="16" customHeight="1">
      <c r="B22" s="54" t="inlineStr">
        <is>
          <t>Взнос на капитальный ремонт (площадь × размер взноса)</t>
        </is>
      </c>
      <c r="C22" s="31" t="n"/>
      <c r="D22" s="31" t="n"/>
      <c r="E22" s="31" t="n"/>
      <c r="F22" s="55">
        <f>"август "&amp;'ИСХОДНЫЕ ДАННЫЕ'!$C$5&amp;" г."</f>
        <v/>
      </c>
      <c r="G22" s="55" t="n"/>
      <c r="H22" s="56">
        <f>'ИСХОДНЫЕ ДАННЫЕ'!$C$8</f>
        <v/>
      </c>
    </row>
    <row r="23" ht="16" customHeight="1">
      <c r="B23" s="54" t="inlineStr">
        <is>
          <t>Взнос на капитальный ремонт (площадь × размер взноса)</t>
        </is>
      </c>
      <c r="C23" s="31" t="n"/>
      <c r="D23" s="31" t="n"/>
      <c r="E23" s="31" t="n"/>
      <c r="F23" s="55">
        <f>"сентябрь "&amp;'ИСХОДНЫЕ ДАННЫЕ'!$C$5&amp;" г."</f>
        <v/>
      </c>
      <c r="G23" s="55" t="n"/>
      <c r="H23" s="56">
        <f>'ИСХОДНЫЕ ДАННЫЕ'!$C$8</f>
        <v/>
      </c>
    </row>
    <row r="24" ht="17" customHeight="1">
      <c r="B24" s="57" t="inlineStr">
        <is>
          <t>Итого начислено за квартал</t>
        </is>
      </c>
      <c r="C24" s="58" t="n"/>
      <c r="D24" s="58" t="n"/>
      <c r="E24" s="58" t="n"/>
      <c r="F24" s="55">
        <f>"III квартал "&amp;'ИСХОДНЫЕ ДАННЫЕ'!$C$5&amp;" г."</f>
        <v/>
      </c>
      <c r="G24" s="55" t="n"/>
      <c r="H24" s="56">
        <f>ROUND(SUM(H21:H23),2)</f>
        <v/>
      </c>
    </row>
    <row r="25" ht="17" customHeight="1">
      <c r="B25" s="54" t="inlineStr">
        <is>
          <t>Задолженность (+) / переплата (−) за предыдущие периоды</t>
        </is>
      </c>
      <c r="C25" s="31" t="n"/>
      <c r="D25" s="31" t="n"/>
      <c r="E25" s="31" t="n"/>
      <c r="F25" s="59">
        <f>IF('ИСХОДНЫЕ ДАННЫЕ'!$D$33="","",'ИСХОДНЫЕ ДАННЫЕ'!$D$33)</f>
        <v/>
      </c>
      <c r="G25" s="59" t="n"/>
      <c r="H25" s="56">
        <f>'ИСХОДНЫЕ ДАННЫЕ'!$C$33</f>
        <v/>
      </c>
    </row>
    <row r="26" ht="28" customHeight="1">
      <c r="B26" s="60">
        <f>"ИТОГО К ОПЛАТЕ"&amp;IF(ROUND(H24+H25,2)&lt;=0,"      переплата зачтена, оплата за квартал не требуется","")</f>
        <v/>
      </c>
      <c r="C26" s="61" t="n"/>
      <c r="D26" s="61" t="n"/>
      <c r="E26" s="61" t="n"/>
      <c r="F26" s="61" t="n"/>
      <c r="G26" s="61" t="n"/>
      <c r="H26" s="62">
        <f>MAX(0,ROUND(H24+H25,2))</f>
        <v/>
      </c>
    </row>
    <row r="27" ht="5" customHeight="1"/>
    <row r="28" ht="16" customHeight="1">
      <c r="B28" s="24" t="inlineStr">
        <is>
          <t>4. СПРАВОЧНАЯ ИНФОРМАЦИЯ ПО СПЕЦИАЛЬНОМУ СЧЁТУ (ч. 7 ст. 177 ЖК РФ)</t>
        </is>
      </c>
      <c r="C28" s="25" t="n"/>
      <c r="D28" s="25" t="n"/>
      <c r="E28" s="25" t="n"/>
      <c r="F28" s="25" t="n"/>
      <c r="G28" s="25" t="n"/>
      <c r="H28" s="26" t="n"/>
    </row>
    <row r="29" ht="15" customHeight="1">
      <c r="B29" s="63">
        <f>"Поступило оплат по лицевому счёту с начала "&amp;'ИСХОДНЫЕ ДАННЫЕ'!$C$5&amp;" года, руб."</f>
        <v/>
      </c>
      <c r="C29" s="37" t="n"/>
      <c r="D29" s="37" t="n"/>
      <c r="E29" s="37" t="n"/>
      <c r="F29" s="37" t="n"/>
      <c r="G29" s="64">
        <f>IF('ИСХОДНЫЕ ДАННЫЕ'!$F$33="","—",'ИСХОДНЫЕ ДАННЫЕ'!$F$33)</f>
        <v/>
      </c>
      <c r="H29" s="65" t="n"/>
    </row>
    <row r="30" ht="5" customHeight="1"/>
    <row r="31" ht="16" customHeight="1">
      <c r="B31" s="24" t="inlineStr">
        <is>
          <t>5. ПОРЯДОК ОПЛАТЫ</t>
        </is>
      </c>
      <c r="C31" s="25" t="n"/>
      <c r="D31" s="25" t="n"/>
      <c r="E31" s="25" t="n"/>
      <c r="F31" s="25" t="n"/>
      <c r="G31" s="25" t="n"/>
      <c r="H31" s="26" t="n"/>
    </row>
    <row r="32" ht="14" customHeight="1">
      <c r="B32" s="66" t="inlineStr">
        <is>
          <t>1) без комиссии — в отделениях АО «Россельхозбанк» (банк, в котором открыт специальный счёт дома);</t>
        </is>
      </c>
      <c r="C32" s="67" t="n"/>
      <c r="D32" s="67" t="n"/>
      <c r="E32" s="67" t="n"/>
      <c r="F32" s="67" t="n"/>
      <c r="G32" s="68" t="n"/>
      <c r="H32" s="69" t="n"/>
    </row>
    <row r="33" ht="26" customHeight="1">
      <c r="B33" s="66" t="inlineStr">
        <is>
          <r>
            <rPr>
              <rFont val="Arial"/>
              <color rgb="00000000"/>
              <sz val="9"/>
            </rPr>
            <t xml:space="preserve">2) по тарифам банка — </t>
          </r>
          <r>
            <rPr>
              <rFont val="Arial"/>
              <b val="1"/>
              <color rgb="00000000"/>
              <sz val="9"/>
            </rPr>
            <t>только по номеру расчётного счёта</t>
          </r>
          <r>
            <rPr>
              <rFont val="Arial"/>
              <color rgb="00000000"/>
              <sz val="9"/>
            </rPr>
            <t>, указанного в разделе 1, в отделениях и мобильных приложениях ПАО Сбербанк, АО «АЛЬФА-БАНК», Банка ВТБ (ПАО), АО «ТБанк», а также любого другого банка;</t>
          </r>
        </is>
      </c>
      <c r="C33" s="67" t="n"/>
      <c r="D33" s="67" t="n"/>
      <c r="E33" s="67" t="n"/>
      <c r="F33" s="67" t="n"/>
      <c r="G33" s="68" t="n"/>
      <c r="H33" s="69" t="n"/>
    </row>
    <row r="34" ht="14" customHeight="1">
      <c r="B34" s="66" t="n"/>
      <c r="C34" s="67" t="n"/>
      <c r="D34" s="67" t="n"/>
      <c r="E34" s="67" t="n"/>
      <c r="F34" s="67" t="n"/>
      <c r="G34" s="68" t="n"/>
      <c r="H34" s="69" t="n"/>
    </row>
    <row r="35" ht="14" customHeight="1">
      <c r="B35" s="30" t="inlineStr">
        <is>
          <t>Назначение платежа:</t>
        </is>
      </c>
      <c r="C35" s="33" t="n"/>
      <c r="D35" s="33" t="n"/>
      <c r="E35" s="33" t="n"/>
      <c r="F35" s="33" t="n"/>
      <c r="G35" s="68" t="n"/>
      <c r="H35" s="69" t="n"/>
    </row>
    <row r="36" ht="30" customHeight="1">
      <c r="B36" s="66">
        <f>"Взнос на капитальный ремонт, л/с № "&amp;'ИСХОДНЫЕ ДАННЫЕ'!$C$11&amp;", кв. № "&amp;'ИСХОДНЫЕ ДАННЫЕ'!$C$12&amp;", за "&amp;"III квартал "&amp;'ИСХОДНЫЕ ДАННЫЕ'!$C$5&amp;" г."</f>
        <v/>
      </c>
      <c r="C36" s="67" t="n"/>
      <c r="D36" s="67" t="n"/>
      <c r="E36" s="67" t="n"/>
      <c r="F36" s="67" t="n"/>
      <c r="G36" s="68" t="n"/>
      <c r="H36" s="69" t="n"/>
    </row>
    <row r="37" ht="26" customHeight="1">
      <c r="B37" s="70">
        <f>"Срок оплаты: до "&amp;'ИСХОДНЫЕ ДАННЫЕ'!$C$50&amp;" числа месяца, следующего за расчётным (за "&amp;"III квартал "&amp;'ИСХОДНЫЕ ДАННЫЕ'!$C$5&amp;" г."&amp;" — до "&amp;TEXT(DAY(DATE('ИСХОДНЫЕ ДАННЫЕ'!$C$5,9+1,'ИСХОДНЫЕ ДАННЫЕ'!$C$50)),"00")&amp;"."&amp;TEXT(MONTH(DATE('ИСХОДНЫЕ ДАННЫЕ'!$C$5,9+1,'ИСХОДНЫЕ ДАННЫЕ'!$C$50)),"00")&amp;"."&amp;YEAR(DATE('ИСХОДНЫЕ ДАННЫЕ'!$C$5,9+1,'ИСХОДНЫЕ ДАННЫЕ'!$C$50))&amp;")."&amp;CHAR(10)&amp;"Основание: ч. 1 ст. 155, ч. 2 ст. 171 ЖК РФ."</f>
        <v/>
      </c>
      <c r="C37" s="71" t="n"/>
      <c r="D37" s="71" t="n"/>
      <c r="E37" s="71" t="n"/>
      <c r="F37" s="71" t="n"/>
      <c r="G37" s="71" t="n"/>
      <c r="H37" s="72" t="n"/>
    </row>
    <row r="38" ht="5" customHeight="1"/>
    <row r="39" ht="32" customHeight="1">
      <c r="B39" s="73">
        <f>"ВНИМАНИЕ! ПЛАТИТЕ ТОЛЬКО ПО НОМЕРУ РАСЧЁТНОГО СЧЁТА "&amp;'ИСХОДНЫЕ ДАННЫЕ'!$C$45&amp;" — ЭТО СПЕЦИАЛЬНЫЙ СЧЁТ ВАШЕГО ДОМА"</f>
        <v/>
      </c>
      <c r="C39" s="73" t="n"/>
      <c r="D39" s="73" t="n"/>
      <c r="E39" s="73" t="n"/>
      <c r="F39" s="73" t="n"/>
      <c r="G39" s="73" t="n"/>
      <c r="H39" s="73" t="n"/>
    </row>
    <row r="40" ht="44" customHeight="1">
      <c r="B40" s="59">
        <f>"В отделении банка и в мобильном приложении во вкладках ищите "&amp;"«РФКР МКД_капремонт, оплата по расчётному счёту» и указывайте номер расчётного счёта, приведённый выше. Оплата через общий поиск «Капитальный ремонт» уходит на общий счёт Регионального фонда капитального ремонта и на счёт вашего дома не поступает."&amp;CHAR(10)&amp;"Лицевой счёт № "&amp;'ИСХОДНЫЕ ДАННЫЕ'!$C$11&amp;" при оплате НЕ вводится — он указан справочно, только для учёта начислений."</f>
        <v/>
      </c>
      <c r="C40" s="59" t="n"/>
      <c r="D40" s="59" t="n"/>
      <c r="E40" s="59" t="n"/>
      <c r="F40" s="59" t="n"/>
      <c r="G40" s="59" t="n"/>
      <c r="H40" s="59" t="n"/>
    </row>
    <row r="41" ht="6" customHeight="1"/>
    <row r="42" ht="24" customHeight="1">
      <c r="B42" s="74" t="inlineStr">
        <is>
          <t>Подпись плательщика  ______________________</t>
        </is>
      </c>
      <c r="C42" s="74" t="n"/>
      <c r="D42" s="74" t="n"/>
      <c r="E42" s="74" t="inlineStr">
        <is>
          <t>Кассир  ______________</t>
        </is>
      </c>
      <c r="F42" s="74" t="n"/>
      <c r="G42" s="74" t="inlineStr">
        <is>
          <t>Дата  ____________</t>
        </is>
      </c>
      <c r="H42" s="74" t="n"/>
    </row>
    <row r="43" ht="22" customHeight="1">
      <c r="B43" s="75">
        <f>"Начисление за "&amp;"III квартал "&amp;'ИСХОДНЫЕ ДАННЫЕ'!$C$5&amp;" г."&amp;"    По вопросам начислений обращайтесь к председателю совета дома, тел. "&amp;'ИСХОДНЫЕ ДАННЫЕ'!$C$21&amp;"."</f>
        <v/>
      </c>
      <c r="C43" s="75" t="n"/>
      <c r="D43" s="75" t="n"/>
      <c r="E43" s="75" t="n"/>
      <c r="F43" s="75" t="n"/>
      <c r="G43" s="75" t="n"/>
      <c r="H43" s="75" t="n"/>
    </row>
  </sheetData>
  <mergeCells count="48">
    <mergeCell ref="B42:D42"/>
    <mergeCell ref="C10:H10"/>
    <mergeCell ref="C16:H16"/>
    <mergeCell ref="B40:H40"/>
    <mergeCell ref="C9:H9"/>
    <mergeCell ref="F25:G25"/>
    <mergeCell ref="G42:H42"/>
    <mergeCell ref="F8:H8"/>
    <mergeCell ref="E42:F42"/>
    <mergeCell ref="B24:E24"/>
    <mergeCell ref="B20:E20"/>
    <mergeCell ref="B5:H5"/>
    <mergeCell ref="G17:H17"/>
    <mergeCell ref="F21:G21"/>
    <mergeCell ref="F24:G24"/>
    <mergeCell ref="F20:G20"/>
    <mergeCell ref="B25:E25"/>
    <mergeCell ref="B3:E3"/>
    <mergeCell ref="C7:H7"/>
    <mergeCell ref="B22:E22"/>
    <mergeCell ref="B31:H31"/>
    <mergeCell ref="B29:F29"/>
    <mergeCell ref="B34:F34"/>
    <mergeCell ref="G32:H37"/>
    <mergeCell ref="C11:D11"/>
    <mergeCell ref="B43:H43"/>
    <mergeCell ref="B21:E21"/>
    <mergeCell ref="F23:G23"/>
    <mergeCell ref="B37:F37"/>
    <mergeCell ref="B39:H39"/>
    <mergeCell ref="B2:H2"/>
    <mergeCell ref="G14:H14"/>
    <mergeCell ref="F22:G22"/>
    <mergeCell ref="B26:G26"/>
    <mergeCell ref="F11:H11"/>
    <mergeCell ref="C8:D8"/>
    <mergeCell ref="C15:H15"/>
    <mergeCell ref="G29:H29"/>
    <mergeCell ref="C6:H6"/>
    <mergeCell ref="B23:E23"/>
    <mergeCell ref="B13:H13"/>
    <mergeCell ref="B33:F33"/>
    <mergeCell ref="B36:F36"/>
    <mergeCell ref="B32:F32"/>
    <mergeCell ref="F3:H3"/>
    <mergeCell ref="B19:H19"/>
    <mergeCell ref="B28:H28"/>
    <mergeCell ref="B35:F35"/>
  </mergeCells>
  <printOptions horizontalCentered="1"/>
  <pageMargins left="0.24" right="0.24" top="0.2" bottom="0.2" header="0.5" footer="0.5"/>
  <pageSetup orientation="portrait" paperSize="9" fitToHeight="1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B2:H43"/>
  <sheetViews>
    <sheetView showGridLines="0" workbookViewId="0">
      <selection activeCell="A1" sqref="A1"/>
    </sheetView>
  </sheetViews>
  <sheetFormatPr baseColWidth="8" defaultRowHeight="15"/>
  <cols>
    <col width="1.8" customWidth="1" min="1" max="1"/>
    <col width="20.5" customWidth="1" min="2" max="2"/>
    <col width="12.5" customWidth="1" min="3" max="3"/>
    <col width="15" customWidth="1" min="4" max="4"/>
    <col width="10.5" customWidth="1" min="5" max="5"/>
    <col width="15" customWidth="1" min="6" max="6"/>
    <col width="12" customWidth="1" min="7" max="7"/>
    <col width="14" customWidth="1" min="8" max="8"/>
    <col width="1.8" customWidth="1" min="9" max="9"/>
  </cols>
  <sheetData>
    <row r="1" ht="6" customHeight="1"/>
    <row r="2" ht="40" customHeight="1">
      <c r="B2" s="19" t="inlineStr">
        <is>
          <r>
            <rPr>
              <rFont val="Arial"/>
              <b val="1"/>
              <color rgb="00000000"/>
              <sz val="13"/>
            </rPr>
            <t xml:space="preserve">ПЛАТЁЖНЫЙ ДОКУМЕНТ (КВИТАНЦИЯ)
</t>
          </r>
          <r>
            <rPr>
              <rFont val="Arial"/>
              <b val="1"/>
              <color rgb="00000000"/>
              <sz val="9"/>
            </rPr>
            <t>на внесение взноса на капитальный ремонт общего имущества в многоквартирном доме</t>
          </r>
        </is>
      </c>
      <c r="C2" s="19" t="n"/>
      <c r="D2" s="19" t="n"/>
      <c r="E2" s="19" t="n"/>
      <c r="F2" s="19" t="n"/>
      <c r="G2" s="19" t="n"/>
      <c r="H2" s="19" t="n"/>
    </row>
    <row r="3" ht="20" customHeight="1">
      <c r="B3" s="20">
        <f>"Специальный счёт МКД · "&amp;'ИСХОДНЫЕ ДАННЫЕ'!$C$14</f>
        <v/>
      </c>
      <c r="C3" s="21" t="n"/>
      <c r="D3" s="21" t="n"/>
      <c r="E3" s="21" t="n"/>
      <c r="F3" s="22">
        <f>"Расчётный период: "&amp;"IV квартал "&amp;'ИСХОДНЫЕ ДАННЫЕ'!$C$5&amp;" г."</f>
        <v/>
      </c>
      <c r="G3" s="22" t="n"/>
      <c r="H3" s="23" t="n"/>
    </row>
    <row r="4" ht="5" customHeight="1"/>
    <row r="5" ht="16" customHeight="1">
      <c r="B5" s="24" t="inlineStr">
        <is>
          <t>1. ПОЛУЧАТЕЛЬ ПЛАТЕЖА — ВЛАДЕЛЕЦ СПЕЦИАЛЬНОГО СЧЁТА</t>
        </is>
      </c>
      <c r="C5" s="25" t="n"/>
      <c r="D5" s="25" t="n"/>
      <c r="E5" s="25" t="n"/>
      <c r="F5" s="25" t="n"/>
      <c r="G5" s="25" t="n"/>
      <c r="H5" s="26" t="n"/>
    </row>
    <row r="6" ht="26" customHeight="1">
      <c r="B6" s="27" t="inlineStr">
        <is>
          <t>Получатель платежа</t>
        </is>
      </c>
      <c r="C6" s="28">
        <f>'ИСХОДНЫЕ ДАННЫЕ'!$C$40</f>
        <v/>
      </c>
      <c r="D6" s="28" t="n"/>
      <c r="E6" s="28" t="n"/>
      <c r="F6" s="28" t="n"/>
      <c r="G6" s="28" t="n"/>
      <c r="H6" s="29" t="n"/>
    </row>
    <row r="7" ht="14" customHeight="1">
      <c r="B7" s="30" t="inlineStr">
        <is>
          <t>Юридический адрес</t>
        </is>
      </c>
      <c r="C7" s="31">
        <f>'ИСХОДНЫЕ ДАННЫЕ'!$C$41</f>
        <v/>
      </c>
      <c r="D7" s="31" t="n"/>
      <c r="E7" s="31" t="n"/>
      <c r="F7" s="31" t="n"/>
      <c r="G7" s="31" t="n"/>
      <c r="H7" s="32" t="n"/>
    </row>
    <row r="8" ht="14" customHeight="1">
      <c r="B8" s="30" t="inlineStr">
        <is>
          <t>ИНН / КПП</t>
        </is>
      </c>
      <c r="C8" s="31">
        <f>'ИСХОДНЫЕ ДАННЫЕ'!$C$42&amp;" / "&amp;'ИСХОДНЫЕ ДАННЫЕ'!$C$43</f>
        <v/>
      </c>
      <c r="D8" s="31" t="n"/>
      <c r="E8" s="33" t="inlineStr">
        <is>
          <t>ОГРН</t>
        </is>
      </c>
      <c r="F8" s="31">
        <f>'ИСХОДНЫЕ ДАННЫЕ'!$C$44</f>
        <v/>
      </c>
      <c r="G8" s="31" t="n"/>
      <c r="H8" s="32" t="n"/>
    </row>
    <row r="9" ht="16" customHeight="1">
      <c r="B9" s="30" t="inlineStr">
        <is>
          <t>Расчётный счёт</t>
        </is>
      </c>
      <c r="C9" s="34">
        <f>'ИСХОДНЫЕ ДАННЫЕ'!$C$45&amp;"   (специальный счёт МКД: "&amp;'ИСХОДНЫЕ ДАННЫЕ'!$C$14&amp;")"</f>
        <v/>
      </c>
      <c r="D9" s="34" t="n"/>
      <c r="E9" s="34" t="n"/>
      <c r="F9" s="34" t="n"/>
      <c r="G9" s="34" t="n"/>
      <c r="H9" s="35" t="n"/>
    </row>
    <row r="10" ht="14" customHeight="1">
      <c r="B10" s="30" t="inlineStr">
        <is>
          <t>Банк</t>
        </is>
      </c>
      <c r="C10" s="31">
        <f>'ИСХОДНЫЕ ДАННЫЕ'!$C$46</f>
        <v/>
      </c>
      <c r="D10" s="31" t="n"/>
      <c r="E10" s="31" t="n"/>
      <c r="F10" s="31" t="n"/>
      <c r="G10" s="31" t="n"/>
      <c r="H10" s="32" t="n"/>
    </row>
    <row r="11" ht="14" customHeight="1">
      <c r="B11" s="36" t="inlineStr">
        <is>
          <t>Корр. счёт / БИК</t>
        </is>
      </c>
      <c r="C11" s="37">
        <f>'ИСХОДНЫЕ ДАННЫЕ'!$C$47&amp;" / "&amp;'ИСХОДНЫЕ ДАННЫЕ'!$C$48</f>
        <v/>
      </c>
      <c r="D11" s="37" t="n"/>
      <c r="E11" s="38" t="inlineStr">
        <is>
          <t>ИНН/КПП банка</t>
        </is>
      </c>
      <c r="F11" s="37">
        <f>'ИСХОДНЫЕ ДАННЫЕ'!$C$49</f>
        <v/>
      </c>
      <c r="G11" s="37" t="n"/>
      <c r="H11" s="39" t="n"/>
    </row>
    <row r="12" ht="5" customHeight="1"/>
    <row r="13" ht="16" customHeight="1">
      <c r="B13" s="24" t="inlineStr">
        <is>
          <t>2. ПЛАТЕЛЬЩИК И ПОМЕЩЕНИЕ</t>
        </is>
      </c>
      <c r="C13" s="25" t="n"/>
      <c r="D13" s="25" t="n"/>
      <c r="E13" s="25" t="n"/>
      <c r="F13" s="25" t="n"/>
      <c r="G13" s="25" t="n"/>
      <c r="H13" s="26" t="n"/>
    </row>
    <row r="14" ht="19" customHeight="1">
      <c r="B14" s="30" t="inlineStr">
        <is>
          <t>Лицевой счёт</t>
        </is>
      </c>
      <c r="C14" s="40">
        <f>'ИСХОДНЫЕ ДАННЫЕ'!$C$11</f>
        <v/>
      </c>
      <c r="D14" s="33" t="inlineStr">
        <is>
          <t>Квартира №</t>
        </is>
      </c>
      <c r="E14" s="41">
        <f>'ИСХОДНЫЕ ДАННЫЕ'!$C$12</f>
        <v/>
      </c>
      <c r="F14" s="42" t="inlineStr">
        <is>
          <t>Дата формирования</t>
        </is>
      </c>
      <c r="G14" s="43">
        <f>'ИСХОДНЫЕ ДАННЫЕ'!$E$34</f>
        <v/>
      </c>
      <c r="H14" s="44" t="n"/>
    </row>
    <row r="15" ht="17" customHeight="1">
      <c r="B15" s="30" t="inlineStr">
        <is>
          <t>Плательщик</t>
        </is>
      </c>
      <c r="C15" s="34">
        <f>'ИСХОДНЫЕ ДАННЫЕ'!$C$13</f>
        <v/>
      </c>
      <c r="D15" s="34" t="n"/>
      <c r="E15" s="34" t="n"/>
      <c r="F15" s="34" t="n"/>
      <c r="G15" s="34" t="n"/>
      <c r="H15" s="35" t="n"/>
    </row>
    <row r="16" ht="16" customHeight="1">
      <c r="B16" s="30" t="inlineStr">
        <is>
          <t>Адрес помещения</t>
        </is>
      </c>
      <c r="C16" s="31">
        <f>'ИСХОДНЫЕ ДАННЫЕ'!$C$14&amp;", кв. "&amp;'ИСХОДНЫЕ ДАННЫЕ'!$C$12</f>
        <v/>
      </c>
      <c r="D16" s="31" t="n"/>
      <c r="E16" s="31" t="n"/>
      <c r="F16" s="31" t="n"/>
      <c r="G16" s="31" t="n"/>
      <c r="H16" s="32" t="n"/>
    </row>
    <row r="17" ht="20" customHeight="1">
      <c r="B17" s="45" t="inlineStr">
        <is>
          <t>Площадь помещения, м²</t>
        </is>
      </c>
      <c r="C17" s="46">
        <f>'ИСХОДНЫЕ ДАННЫЕ'!$C$6</f>
        <v/>
      </c>
      <c r="D17" s="47" t="inlineStr">
        <is>
          <t>Размер взноса, руб./м²</t>
        </is>
      </c>
      <c r="E17" s="48">
        <f>'ИСХОДНЫЕ ДАННЫЕ'!$C$7</f>
        <v/>
      </c>
      <c r="F17" s="38" t="inlineStr">
        <is>
          <t>Период оплаты</t>
        </is>
      </c>
      <c r="G17" s="49">
        <f>"IV квартал "&amp;'ИСХОДНЫЕ ДАННЫЕ'!$C$5&amp;" г."</f>
        <v/>
      </c>
      <c r="H17" s="50" t="n"/>
    </row>
    <row r="18" ht="5" customHeight="1"/>
    <row r="19" ht="16" customHeight="1">
      <c r="B19" s="24" t="inlineStr">
        <is>
          <t>3. РАСЧЁТ РАЗМЕРА ВЗНОСА И СУММЫ К ОПЛАТЕ</t>
        </is>
      </c>
      <c r="C19" s="25" t="n"/>
      <c r="D19" s="25" t="n"/>
      <c r="E19" s="25" t="n"/>
      <c r="F19" s="25" t="n"/>
      <c r="G19" s="25" t="n"/>
      <c r="H19" s="26" t="n"/>
    </row>
    <row r="20" ht="18" customHeight="1">
      <c r="B20" s="51" t="inlineStr">
        <is>
          <t>Вид платежа</t>
        </is>
      </c>
      <c r="C20" s="52" t="n"/>
      <c r="D20" s="52" t="n"/>
      <c r="E20" s="52" t="n"/>
      <c r="F20" s="52" t="inlineStr">
        <is>
          <t>Расчётный период</t>
        </is>
      </c>
      <c r="G20" s="52" t="n"/>
      <c r="H20" s="53" t="inlineStr">
        <is>
          <t>Сумма, руб.</t>
        </is>
      </c>
    </row>
    <row r="21" ht="16" customHeight="1">
      <c r="B21" s="54" t="inlineStr">
        <is>
          <t>Взнос на капитальный ремонт (площадь × размер взноса)</t>
        </is>
      </c>
      <c r="C21" s="31" t="n"/>
      <c r="D21" s="31" t="n"/>
      <c r="E21" s="31" t="n"/>
      <c r="F21" s="55">
        <f>"октябрь "&amp;'ИСХОДНЫЕ ДАННЫЕ'!$C$5&amp;" г."</f>
        <v/>
      </c>
      <c r="G21" s="55" t="n"/>
      <c r="H21" s="56">
        <f>'ИСХОДНЫЕ ДАННЫЕ'!$C$8</f>
        <v/>
      </c>
    </row>
    <row r="22" ht="16" customHeight="1">
      <c r="B22" s="54" t="inlineStr">
        <is>
          <t>Взнос на капитальный ремонт (площадь × размер взноса)</t>
        </is>
      </c>
      <c r="C22" s="31" t="n"/>
      <c r="D22" s="31" t="n"/>
      <c r="E22" s="31" t="n"/>
      <c r="F22" s="55">
        <f>"ноябрь "&amp;'ИСХОДНЫЕ ДАННЫЕ'!$C$5&amp;" г."</f>
        <v/>
      </c>
      <c r="G22" s="55" t="n"/>
      <c r="H22" s="56">
        <f>'ИСХОДНЫЕ ДАННЫЕ'!$C$8</f>
        <v/>
      </c>
    </row>
    <row r="23" ht="16" customHeight="1">
      <c r="B23" s="54" t="inlineStr">
        <is>
          <t>Взнос на капитальный ремонт (площадь × размер взноса)</t>
        </is>
      </c>
      <c r="C23" s="31" t="n"/>
      <c r="D23" s="31" t="n"/>
      <c r="E23" s="31" t="n"/>
      <c r="F23" s="55">
        <f>"декабрь "&amp;'ИСХОДНЫЕ ДАННЫЕ'!$C$5&amp;" г."</f>
        <v/>
      </c>
      <c r="G23" s="55" t="n"/>
      <c r="H23" s="56">
        <f>'ИСХОДНЫЕ ДАННЫЕ'!$C$8</f>
        <v/>
      </c>
    </row>
    <row r="24" ht="17" customHeight="1">
      <c r="B24" s="57" t="inlineStr">
        <is>
          <t>Итого начислено за квартал</t>
        </is>
      </c>
      <c r="C24" s="58" t="n"/>
      <c r="D24" s="58" t="n"/>
      <c r="E24" s="58" t="n"/>
      <c r="F24" s="55">
        <f>"IV квартал "&amp;'ИСХОДНЫЕ ДАННЫЕ'!$C$5&amp;" г."</f>
        <v/>
      </c>
      <c r="G24" s="55" t="n"/>
      <c r="H24" s="56">
        <f>ROUND(SUM(H21:H23),2)</f>
        <v/>
      </c>
    </row>
    <row r="25" ht="17" customHeight="1">
      <c r="B25" s="54" t="inlineStr">
        <is>
          <t>Задолженность (+) / переплата (−) за предыдущие периоды</t>
        </is>
      </c>
      <c r="C25" s="31" t="n"/>
      <c r="D25" s="31" t="n"/>
      <c r="E25" s="31" t="n"/>
      <c r="F25" s="59">
        <f>IF('ИСХОДНЫЕ ДАННЫЕ'!$D$34="","",'ИСХОДНЫЕ ДАННЫЕ'!$D$34)</f>
        <v/>
      </c>
      <c r="G25" s="59" t="n"/>
      <c r="H25" s="56">
        <f>'ИСХОДНЫЕ ДАННЫЕ'!$C$34</f>
        <v/>
      </c>
    </row>
    <row r="26" ht="28" customHeight="1">
      <c r="B26" s="60">
        <f>"ИТОГО К ОПЛАТЕ"&amp;IF(ROUND(H24+H25,2)&lt;=0,"      переплата зачтена, оплата за квартал не требуется","")</f>
        <v/>
      </c>
      <c r="C26" s="61" t="n"/>
      <c r="D26" s="61" t="n"/>
      <c r="E26" s="61" t="n"/>
      <c r="F26" s="61" t="n"/>
      <c r="G26" s="61" t="n"/>
      <c r="H26" s="62">
        <f>MAX(0,ROUND(H24+H25,2))</f>
        <v/>
      </c>
    </row>
    <row r="27" ht="5" customHeight="1"/>
    <row r="28" ht="16" customHeight="1">
      <c r="B28" s="24" t="inlineStr">
        <is>
          <t>4. СПРАВОЧНАЯ ИНФОРМАЦИЯ ПО СПЕЦИАЛЬНОМУ СЧЁТУ (ч. 7 ст. 177 ЖК РФ)</t>
        </is>
      </c>
      <c r="C28" s="25" t="n"/>
      <c r="D28" s="25" t="n"/>
      <c r="E28" s="25" t="n"/>
      <c r="F28" s="25" t="n"/>
      <c r="G28" s="25" t="n"/>
      <c r="H28" s="26" t="n"/>
    </row>
    <row r="29" ht="15" customHeight="1">
      <c r="B29" s="63">
        <f>"Поступило оплат по лицевому счёту с начала "&amp;'ИСХОДНЫЕ ДАННЫЕ'!$C$5&amp;" года, руб."</f>
        <v/>
      </c>
      <c r="C29" s="37" t="n"/>
      <c r="D29" s="37" t="n"/>
      <c r="E29" s="37" t="n"/>
      <c r="F29" s="37" t="n"/>
      <c r="G29" s="64">
        <f>IF('ИСХОДНЫЕ ДАННЫЕ'!$F$34="","—",'ИСХОДНЫЕ ДАННЫЕ'!$F$34)</f>
        <v/>
      </c>
      <c r="H29" s="65" t="n"/>
    </row>
    <row r="30" ht="5" customHeight="1"/>
    <row r="31" ht="16" customHeight="1">
      <c r="B31" s="24" t="inlineStr">
        <is>
          <t>5. ПОРЯДОК ОПЛАТЫ</t>
        </is>
      </c>
      <c r="C31" s="25" t="n"/>
      <c r="D31" s="25" t="n"/>
      <c r="E31" s="25" t="n"/>
      <c r="F31" s="25" t="n"/>
      <c r="G31" s="25" t="n"/>
      <c r="H31" s="26" t="n"/>
    </row>
    <row r="32" ht="14" customHeight="1">
      <c r="B32" s="66" t="inlineStr">
        <is>
          <t>1) без комиссии — в отделениях АО «Россельхозбанк» (банк, в котором открыт специальный счёт дома);</t>
        </is>
      </c>
      <c r="C32" s="67" t="n"/>
      <c r="D32" s="67" t="n"/>
      <c r="E32" s="67" t="n"/>
      <c r="F32" s="67" t="n"/>
      <c r="G32" s="68" t="n"/>
      <c r="H32" s="69" t="n"/>
    </row>
    <row r="33" ht="26" customHeight="1">
      <c r="B33" s="66" t="inlineStr">
        <is>
          <r>
            <rPr>
              <rFont val="Arial"/>
              <color rgb="00000000"/>
              <sz val="9"/>
            </rPr>
            <t xml:space="preserve">2) по тарифам банка — </t>
          </r>
          <r>
            <rPr>
              <rFont val="Arial"/>
              <b val="1"/>
              <color rgb="00000000"/>
              <sz val="9"/>
            </rPr>
            <t>только по номеру расчётного счёта</t>
          </r>
          <r>
            <rPr>
              <rFont val="Arial"/>
              <color rgb="00000000"/>
              <sz val="9"/>
            </rPr>
            <t>, указанного в разделе 1, в отделениях и мобильных приложениях ПАО Сбербанк, АО «АЛЬФА-БАНК», Банка ВТБ (ПАО), АО «ТБанк», а также любого другого банка;</t>
          </r>
        </is>
      </c>
      <c r="C33" s="67" t="n"/>
      <c r="D33" s="67" t="n"/>
      <c r="E33" s="67" t="n"/>
      <c r="F33" s="67" t="n"/>
      <c r="G33" s="68" t="n"/>
      <c r="H33" s="69" t="n"/>
    </row>
    <row r="34" ht="14" customHeight="1">
      <c r="B34" s="66" t="n"/>
      <c r="C34" s="67" t="n"/>
      <c r="D34" s="67" t="n"/>
      <c r="E34" s="67" t="n"/>
      <c r="F34" s="67" t="n"/>
      <c r="G34" s="68" t="n"/>
      <c r="H34" s="69" t="n"/>
    </row>
    <row r="35" ht="14" customHeight="1">
      <c r="B35" s="30" t="inlineStr">
        <is>
          <t>Назначение платежа:</t>
        </is>
      </c>
      <c r="C35" s="33" t="n"/>
      <c r="D35" s="33" t="n"/>
      <c r="E35" s="33" t="n"/>
      <c r="F35" s="33" t="n"/>
      <c r="G35" s="68" t="n"/>
      <c r="H35" s="69" t="n"/>
    </row>
    <row r="36" ht="30" customHeight="1">
      <c r="B36" s="66">
        <f>"Взнос на капитальный ремонт, л/с № "&amp;'ИСХОДНЫЕ ДАННЫЕ'!$C$11&amp;", кв. № "&amp;'ИСХОДНЫЕ ДАННЫЕ'!$C$12&amp;", за "&amp;"IV квартал "&amp;'ИСХОДНЫЕ ДАННЫЕ'!$C$5&amp;" г."</f>
        <v/>
      </c>
      <c r="C36" s="67" t="n"/>
      <c r="D36" s="67" t="n"/>
      <c r="E36" s="67" t="n"/>
      <c r="F36" s="67" t="n"/>
      <c r="G36" s="68" t="n"/>
      <c r="H36" s="69" t="n"/>
    </row>
    <row r="37" ht="26" customHeight="1">
      <c r="B37" s="70">
        <f>"Срок оплаты: до "&amp;'ИСХОДНЫЕ ДАННЫЕ'!$C$50&amp;" числа месяца, следующего за расчётным (за "&amp;"IV квартал "&amp;'ИСХОДНЫЕ ДАННЫЕ'!$C$5&amp;" г."&amp;" — до "&amp;TEXT(DAY(DATE('ИСХОДНЫЕ ДАННЫЕ'!$C$5,12+1,'ИСХОДНЫЕ ДАННЫЕ'!$C$50)),"00")&amp;"."&amp;TEXT(MONTH(DATE('ИСХОДНЫЕ ДАННЫЕ'!$C$5,12+1,'ИСХОДНЫЕ ДАННЫЕ'!$C$50)),"00")&amp;"."&amp;YEAR(DATE('ИСХОДНЫЕ ДАННЫЕ'!$C$5,12+1,'ИСХОДНЫЕ ДАННЫЕ'!$C$50))&amp;")."&amp;CHAR(10)&amp;"Основание: ч. 1 ст. 155, ч. 2 ст. 171 ЖК РФ."</f>
        <v/>
      </c>
      <c r="C37" s="71" t="n"/>
      <c r="D37" s="71" t="n"/>
      <c r="E37" s="71" t="n"/>
      <c r="F37" s="71" t="n"/>
      <c r="G37" s="71" t="n"/>
      <c r="H37" s="72" t="n"/>
    </row>
    <row r="38" ht="5" customHeight="1"/>
    <row r="39" ht="32" customHeight="1">
      <c r="B39" s="73">
        <f>"ВНИМАНИЕ! ПЛАТИТЕ ТОЛЬКО ПО НОМЕРУ РАСЧЁТНОГО СЧЁТА "&amp;'ИСХОДНЫЕ ДАННЫЕ'!$C$45&amp;" — ЭТО СПЕЦИАЛЬНЫЙ СЧЁТ ВАШЕГО ДОМА"</f>
        <v/>
      </c>
      <c r="C39" s="73" t="n"/>
      <c r="D39" s="73" t="n"/>
      <c r="E39" s="73" t="n"/>
      <c r="F39" s="73" t="n"/>
      <c r="G39" s="73" t="n"/>
      <c r="H39" s="73" t="n"/>
    </row>
    <row r="40" ht="44" customHeight="1">
      <c r="B40" s="59">
        <f>"В отделении банка и в мобильном приложении во вкладках ищите "&amp;"«РФКР МКД_капремонт, оплата по расчётному счёту» и указывайте номер расчётного счёта, приведённый выше. Оплата через общий поиск «Капитальный ремонт» уходит на общий счёт Регионального фонда капитального ремонта и на счёт вашего дома не поступает."&amp;CHAR(10)&amp;"Лицевой счёт № "&amp;'ИСХОДНЫЕ ДАННЫЕ'!$C$11&amp;" при оплате НЕ вводится — он указан справочно, только для учёта начислений."</f>
        <v/>
      </c>
      <c r="C40" s="59" t="n"/>
      <c r="D40" s="59" t="n"/>
      <c r="E40" s="59" t="n"/>
      <c r="F40" s="59" t="n"/>
      <c r="G40" s="59" t="n"/>
      <c r="H40" s="59" t="n"/>
    </row>
    <row r="41" ht="6" customHeight="1"/>
    <row r="42" ht="24" customHeight="1">
      <c r="B42" s="74" t="inlineStr">
        <is>
          <t>Подпись плательщика  ______________________</t>
        </is>
      </c>
      <c r="C42" s="74" t="n"/>
      <c r="D42" s="74" t="n"/>
      <c r="E42" s="74" t="inlineStr">
        <is>
          <t>Кассир  ______________</t>
        </is>
      </c>
      <c r="F42" s="74" t="n"/>
      <c r="G42" s="74" t="inlineStr">
        <is>
          <t>Дата  ____________</t>
        </is>
      </c>
      <c r="H42" s="74" t="n"/>
    </row>
    <row r="43" ht="22" customHeight="1">
      <c r="B43" s="75">
        <f>"Начисление за "&amp;"IV квартал "&amp;'ИСХОДНЫЕ ДАННЫЕ'!$C$5&amp;" г."&amp;"    По вопросам начислений обращайтесь к председателю совета дома, тел. "&amp;'ИСХОДНЫЕ ДАННЫЕ'!$C$21&amp;"."</f>
        <v/>
      </c>
      <c r="C43" s="75" t="n"/>
      <c r="D43" s="75" t="n"/>
      <c r="E43" s="75" t="n"/>
      <c r="F43" s="75" t="n"/>
      <c r="G43" s="75" t="n"/>
      <c r="H43" s="75" t="n"/>
    </row>
  </sheetData>
  <mergeCells count="48">
    <mergeCell ref="B42:D42"/>
    <mergeCell ref="C10:H10"/>
    <mergeCell ref="C16:H16"/>
    <mergeCell ref="B40:H40"/>
    <mergeCell ref="C9:H9"/>
    <mergeCell ref="F25:G25"/>
    <mergeCell ref="G42:H42"/>
    <mergeCell ref="F8:H8"/>
    <mergeCell ref="E42:F42"/>
    <mergeCell ref="B24:E24"/>
    <mergeCell ref="B20:E20"/>
    <mergeCell ref="B5:H5"/>
    <mergeCell ref="G17:H17"/>
    <mergeCell ref="F21:G21"/>
    <mergeCell ref="F24:G24"/>
    <mergeCell ref="F20:G20"/>
    <mergeCell ref="B25:E25"/>
    <mergeCell ref="B3:E3"/>
    <mergeCell ref="C7:H7"/>
    <mergeCell ref="B22:E22"/>
    <mergeCell ref="B31:H31"/>
    <mergeCell ref="B29:F29"/>
    <mergeCell ref="B34:F34"/>
    <mergeCell ref="G32:H37"/>
    <mergeCell ref="C11:D11"/>
    <mergeCell ref="B43:H43"/>
    <mergeCell ref="B21:E21"/>
    <mergeCell ref="F23:G23"/>
    <mergeCell ref="B37:F37"/>
    <mergeCell ref="B39:H39"/>
    <mergeCell ref="B2:H2"/>
    <mergeCell ref="G14:H14"/>
    <mergeCell ref="F22:G22"/>
    <mergeCell ref="B26:G26"/>
    <mergeCell ref="F11:H11"/>
    <mergeCell ref="C8:D8"/>
    <mergeCell ref="C15:H15"/>
    <mergeCell ref="G29:H29"/>
    <mergeCell ref="C6:H6"/>
    <mergeCell ref="B23:E23"/>
    <mergeCell ref="B13:H13"/>
    <mergeCell ref="B33:F33"/>
    <mergeCell ref="B36:F36"/>
    <mergeCell ref="B32:F32"/>
    <mergeCell ref="F3:H3"/>
    <mergeCell ref="B19:H19"/>
    <mergeCell ref="B28:H28"/>
    <mergeCell ref="B35:F35"/>
  </mergeCells>
  <printOptions horizontalCentered="1"/>
  <pageMargins left="0.24" right="0.24" top="0.2" bottom="0.2" header="0.5" footer="0.5"/>
  <pageSetup orientation="portrait" paperSize="9" fitToHeight="1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B1:F27"/>
  <sheetViews>
    <sheetView showGridLines="0" workbookViewId="0">
      <selection activeCell="A1" sqref="A1"/>
    </sheetView>
  </sheetViews>
  <sheetFormatPr baseColWidth="8" defaultRowHeight="15"/>
  <cols>
    <col width="0.8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0.8" customWidth="1" min="7" max="7"/>
  </cols>
  <sheetData>
    <row r="1" ht="32" customHeight="1">
      <c r="D1" s="76">
        <f>"В "&amp;'ИСХОДНЫЕ ДАННЫЕ'!$C$25</f>
        <v/>
      </c>
      <c r="E1" s="76" t="n"/>
      <c r="F1" s="76" t="n"/>
    </row>
    <row r="2" ht="16" customHeight="1">
      <c r="D2" s="76">
        <f>IF('ИСХОДНЫЕ ДАННЫЕ'!$C$27="","",'ИСХОДНЫЕ ДАННЫЕ'!$C$26&amp;" "&amp;'ИСХОДНЫЕ ДАННЫЕ'!$C$27)</f>
        <v/>
      </c>
      <c r="E2" s="76" t="n"/>
      <c r="F2" s="76" t="n"/>
    </row>
    <row r="3" ht="32" customHeight="1">
      <c r="D3" s="77">
        <f>"от Председателя МКД "&amp;'ИСХОДНЫЕ ДАННЫЕ'!$C$15&amp;", "&amp;'ИСХОДНЫЕ ДАННЫЕ'!$C$18</f>
        <v/>
      </c>
      <c r="E3" s="77" t="n"/>
      <c r="F3" s="77" t="n"/>
    </row>
    <row r="4" ht="32" customHeight="1">
      <c r="D4" s="77">
        <f>"проживающей по адресу: "&amp;'ИСХОДНЫЕ ДАННЫЕ'!$C$20</f>
        <v/>
      </c>
      <c r="E4" s="77" t="n"/>
      <c r="F4" s="77" t="n"/>
    </row>
    <row r="5" ht="16" customHeight="1">
      <c r="D5" s="77">
        <f>"Конт. тел.: "&amp;'ИСХОДНЫЕ ДАННЫЕ'!$C$21</f>
        <v/>
      </c>
      <c r="E5" s="77" t="n"/>
      <c r="F5" s="77" t="n"/>
    </row>
    <row r="6" ht="16" customHeight="1">
      <c r="D6" s="77">
        <f>"Эл. почта: "&amp;'ИСХОДНЫЕ ДАННЫЕ'!$C$22</f>
        <v/>
      </c>
      <c r="E6" s="77" t="n"/>
      <c r="F6" s="77" t="n"/>
    </row>
    <row r="7" ht="18" customHeight="1"/>
    <row r="8" ht="54" customHeight="1">
      <c r="B8" s="77">
        <f>"В связи с тем, что на балансе департамента числится кв. № "&amp;'ИСХОДНЫЕ ДАННЫЕ'!$C$12&amp;" по адресу: "&amp;'ИСХОДНЫЕ ДАННЫЕ'!$C$14&amp;", сообщаю Вам "&amp;IF(MAX(0,ROUND(ROUND('ИСХОДНЫЕ ДАННЫЕ'!$C$8*3,2)+'ИСХОДНЫЕ ДАННЫЕ'!$C$31,2))&gt;0,"о необходимости оплатить "&amp;IF(INT(INT(ROUND(MAX(0,ROUND(ROUND('ИСХОДНЫЕ ДАННЫЕ'!$C$8*3,2)+'ИСХОДНЫЕ ДАННЫЕ'!$C$31,2)),2))/1000)&gt;0,INT(INT(ROUND(MAX(0,ROUND(ROUND('ИСХОДНЫЕ ДАННЫЕ'!$C$8*3,2)+'ИСХОДНЫЕ ДАННЫЕ'!$C$31,2)),2))/1000)&amp;" "&amp;TEXT((INT(ROUND(MAX(0,ROUND(ROUND('ИСХОДНЫЕ ДАННЫЕ'!$C$8*3,2)+'ИСХОДНЫЕ ДАННЫЕ'!$C$31,2)),2))-INT(INT(ROUND(MAX(0,ROUND(ROUND('ИСХОДНЫЕ ДАННЫЕ'!$C$8*3,2)+'ИСХОДНЫЕ ДАННЫЕ'!$C$31,2)),2))/1000)*1000),"000"),(INT(ROUND(MAX(0,ROUND(ROUND('ИСХОДНЫЕ ДАННЫЕ'!$C$8*3,2)+'ИСХОДНЫЕ ДАННЫЕ'!$C$31,2)),2))-INT(INT(ROUND(MAX(0,ROUND(ROUND('ИСХОДНЫЕ ДАННЫЕ'!$C$8*3,2)+'ИСХОДНЫЕ ДАННЫЕ'!$C$31,2)),2))/1000)*1000)&amp;"")&amp;","&amp;TEXT((ROUND(ROUND(MAX(0,ROUND(ROUND('ИСХОДНЫЕ ДАННЫЕ'!$C$8*3,2)+'ИСХОДНЫЕ ДАННЫЕ'!$C$31,2)),2)*100,0)-INT(ROUND(MAX(0,ROUND(ROUND('ИСХОДНЫЕ ДАННЫЕ'!$C$8*3,2)+'ИСХОДНЫЕ ДАННЫЕ'!$C$31,2)),2))*100),"00")&amp;" руб., в том числе:","о состоянии расчётов за "&amp;"I квартал "&amp;'ИСХОДНЫЕ ДАННЫЕ'!$C$5&amp;" г."&amp;":")</f>
        <v/>
      </c>
      <c r="C8" s="77" t="n"/>
      <c r="D8" s="77" t="n"/>
      <c r="E8" s="77" t="n"/>
      <c r="F8" s="77" t="n"/>
    </row>
    <row r="9" ht="8" customHeight="1"/>
    <row r="10" ht="38" customHeight="1">
      <c r="B10" s="77">
        <f>"— текущий платёж за период с января по март "&amp;'ИСХОДНЫЕ ДАННЫЕ'!$C$5&amp;" года ("&amp;"I квартал "&amp;'ИСХОДНЫЕ ДАННЫЕ'!$C$5&amp;" г."&amp;") в размере "&amp;IF(INT(INT(ROUND(ROUND('ИСХОДНЫЕ ДАННЫЕ'!$C$8*3,2),2))/1000)&gt;0,INT(INT(ROUND(ROUND('ИСХОДНЫЕ ДАННЫЕ'!$C$8*3,2),2))/1000)&amp;" "&amp;TEXT((INT(ROUND(ROUND('ИСХОДНЫЕ ДАННЫЕ'!$C$8*3,2),2))-INT(INT(ROUND(ROUND('ИСХОДНЫЕ ДАННЫЕ'!$C$8*3,2),2))/1000)*1000),"000"),(INT(ROUND(ROUND('ИСХОДНЫЕ ДАННЫЕ'!$C$8*3,2),2))-INT(INT(ROUND(ROUND('ИСХОДНЫЕ ДАННЫЕ'!$C$8*3,2),2))/1000)*1000)&amp;"")&amp;","&amp;TEXT((ROUND(ROUND(ROUND('ИСХОДНЫЕ ДАННЫЕ'!$C$8*3,2),2)*100,0)-INT(ROUND(ROUND('ИСХОДНЫЕ ДАННЫЕ'!$C$8*3,2),2))*100),"00")&amp;" рублей"</f>
        <v/>
      </c>
      <c r="C10" s="77" t="n"/>
      <c r="D10" s="77" t="n"/>
      <c r="E10" s="77" t="n"/>
      <c r="F10" s="77" t="n"/>
    </row>
    <row r="11" ht="18" customHeight="1">
      <c r="B11" s="78">
        <f>"("&amp;UPPER(LEFT(IF(INT(INT(ROUND(ROUND('ИСХОДНЫЕ ДАННЫЕ'!$C$8*3,2),2))/1000)&gt;0,INDEX('ПРОПИСЬ'!$D$2:$D$1001,INT(INT(ROUND(ROUND('ИСХОДНЫЕ ДАННЫЕ'!$C$8*3,2),2))/1000)+1)&amp;" "&amp;INDEX('ПРОПИСЬ'!$E$2:$E$1001,INT(INT(ROUND(ROUND('ИСХОДНЫЕ ДАННЫЕ'!$C$8*3,2),2))/1000)+1)&amp;" ","")&amp;IF(AND((INT(ROUND(ROUND('ИСХОДНЫЕ ДАННЫЕ'!$C$8*3,2),2))-INT(INT(ROUND(ROUND('ИСХОДНЫЕ ДАННЫЕ'!$C$8*3,2),2))/1000)*1000)=0,INT(INT(ROUND(ROUND('ИСХОДНЫЕ ДАННЫЕ'!$C$8*3,2),2))/1000)&gt;0),"",INDEX('ПРОПИСЬ'!$B$2:$B$1001,(INT(ROUND(ROUND('ИСХОДНЫЕ ДАННЫЕ'!$C$8*3,2),2))-INT(INT(ROUND(ROUND('ИСХОДНЫЕ ДАННЫЕ'!$C$8*3,2),2))/1000)*1000)+1)&amp;" ")&amp;INDEX('ПРОПИСЬ'!$C$2:$C$1001,(INT(ROUND(ROUND('ИСХОДНЫЕ ДАННЫЕ'!$C$8*3,2),2))-INT(INT(ROUND(ROUND('ИСХОДНЫЕ ДАННЫЕ'!$C$8*3,2),2))/1000)*1000)+1)&amp;" "&amp;INDEX('ПРОПИСЬ'!$D$2:$D$1001,(ROUND(ROUND(ROUND('ИСХОДНЫЕ ДАННЫЕ'!$C$8*3,2),2)*100,0)-INT(ROUND(ROUND('ИСХОДНЫЕ ДАННЫЕ'!$C$8*3,2),2))*100)+1)&amp;" "&amp;INDEX('ПРОПИСЬ'!$F$2:$F$1001,(ROUND(ROUND(ROUND('ИСХОДНЫЕ ДАННЫЕ'!$C$8*3,2),2)*100,0)-INT(ROUND(ROUND('ИСХОДНЫЕ ДАННЫЕ'!$C$8*3,2),2))*100)+1),1))&amp;MID(IF(INT(INT(ROUND(ROUND('ИСХОДНЫЕ ДАННЫЕ'!$C$8*3,2),2))/1000)&gt;0,INDEX('ПРОПИСЬ'!$D$2:$D$1001,INT(INT(ROUND(ROUND('ИСХОДНЫЕ ДАННЫЕ'!$C$8*3,2),2))/1000)+1)&amp;" "&amp;INDEX('ПРОПИСЬ'!$E$2:$E$1001,INT(INT(ROUND(ROUND('ИСХОДНЫЕ ДАННЫЕ'!$C$8*3,2),2))/1000)+1)&amp;" ","")&amp;IF(AND((INT(ROUND(ROUND('ИСХОДНЫЕ ДАННЫЕ'!$C$8*3,2),2))-INT(INT(ROUND(ROUND('ИСХОДНЫЕ ДАННЫЕ'!$C$8*3,2),2))/1000)*1000)=0,INT(INT(ROUND(ROUND('ИСХОДНЫЕ ДАННЫЕ'!$C$8*3,2),2))/1000)&gt;0),"",INDEX('ПРОПИСЬ'!$B$2:$B$1001,(INT(ROUND(ROUND('ИСХОДНЫЕ ДАННЫЕ'!$C$8*3,2),2))-INT(INT(ROUND(ROUND('ИСХОДНЫЕ ДАННЫЕ'!$C$8*3,2),2))/1000)*1000)+1)&amp;" ")&amp;INDEX('ПРОПИСЬ'!$C$2:$C$1001,(INT(ROUND(ROUND('ИСХОДНЫЕ ДАННЫЕ'!$C$8*3,2),2))-INT(INT(ROUND(ROUND('ИСХОДНЫЕ ДАННЫЕ'!$C$8*3,2),2))/1000)*1000)+1)&amp;" "&amp;INDEX('ПРОПИСЬ'!$D$2:$D$1001,(ROUND(ROUND(ROUND('ИСХОДНЫЕ ДАННЫЕ'!$C$8*3,2),2)*100,0)-INT(ROUND(ROUND('ИСХОДНЫЕ ДАННЫЕ'!$C$8*3,2),2))*100)+1)&amp;" "&amp;INDEX('ПРОПИСЬ'!$F$2:$F$1001,(ROUND(ROUND(ROUND('ИСХОДНЫЕ ДАННЫЕ'!$C$8*3,2),2)*100,0)-INT(ROUND(ROUND('ИСХОДНЫЕ ДАННЫЕ'!$C$8*3,2),2))*100)+1),2,300)&amp;")."</f>
        <v/>
      </c>
      <c r="C11" s="78" t="n"/>
      <c r="D11" s="78" t="n"/>
      <c r="E11" s="78" t="n"/>
      <c r="F11" s="78" t="n"/>
    </row>
    <row r="12" ht="6" customHeight="1"/>
    <row r="13" ht="32" customHeight="1">
      <c r="B13" s="77">
        <f>IF('ИСХОДНЫЕ ДАННЫЕ'!$C$31=0,"— задолженности за предыдущие периоды нет.",IF('ИСХОДНЫЕ ДАННЫЕ'!$C$31&lt;0,"— на лицевом счёте числится переплата "&amp;IF(INT(INT(ROUND(-'ИСХОДНЫЕ ДАННЫЕ'!$C$31,2))/1000)&gt;0,INT(INT(ROUND(-'ИСХОДНЫЕ ДАННЫЕ'!$C$31,2))/1000)&amp;" "&amp;TEXT((INT(ROUND(-'ИСХОДНЫЕ ДАННЫЕ'!$C$31,2))-INT(INT(ROUND(-'ИСХОДНЫЕ ДАННЫЕ'!$C$31,2))/1000)*1000),"000"),(INT(ROUND(-'ИСХОДНЫЕ ДАННЫЕ'!$C$31,2))-INT(INT(ROUND(-'ИСХОДНЫЕ ДАННЫЕ'!$C$31,2))/1000)*1000)&amp;"")&amp;","&amp;TEXT((ROUND(ROUND(-'ИСХОДНЫЕ ДАННЫЕ'!$C$31,2)*100,0)-INT(ROUND(-'ИСХОДНЫЕ ДАННЫЕ'!$C$31,2))*100),"00")&amp;" рублей","— задолженность "&amp;IF('ИСХОДНЫЕ ДАННЫЕ'!$D$31="","за предыдущие периоды",'ИСХОДНЫЕ ДАННЫЕ'!$D$31)&amp;" в размере "&amp;IF(INT(INT(ROUND('ИСХОДНЫЕ ДАННЫЕ'!$C$31,2))/1000)&gt;0,INT(INT(ROUND('ИСХОДНЫЕ ДАННЫЕ'!$C$31,2))/1000)&amp;" "&amp;TEXT((INT(ROUND('ИСХОДНЫЕ ДАННЫЕ'!$C$31,2))-INT(INT(ROUND('ИСХОДНЫЕ ДАННЫЕ'!$C$31,2))/1000)*1000),"000"),(INT(ROUND('ИСХОДНЫЕ ДАННЫЕ'!$C$31,2))-INT(INT(ROUND('ИСХОДНЫЕ ДАННЫЕ'!$C$31,2))/1000)*1000)&amp;"")&amp;","&amp;TEXT((ROUND(ROUND('ИСХОДНЫЕ ДАННЫЕ'!$C$31,2)*100,0)-INT(ROUND('ИСХОДНЫЕ ДАННЫЕ'!$C$31,2))*100),"00")&amp;" рублей"))</f>
        <v/>
      </c>
      <c r="C13" s="77" t="n"/>
      <c r="D13" s="77" t="n"/>
      <c r="E13" s="77" t="n"/>
      <c r="F13" s="77" t="n"/>
    </row>
    <row r="14" ht="18" customHeight="1">
      <c r="B14" s="78">
        <f>IF('ИСХОДНЫЕ ДАННЫЕ'!$C$31=0,"","("&amp;UPPER(LEFT(IF(INT(INT(ROUND(ABS('ИСХОДНЫЕ ДАННЫЕ'!$C$31),2))/1000)&gt;0,INDEX('ПРОПИСЬ'!$D$2:$D$1001,INT(INT(ROUND(ABS('ИСХОДНЫЕ ДАННЫЕ'!$C$31),2))/1000)+1)&amp;" "&amp;INDEX('ПРОПИСЬ'!$E$2:$E$1001,INT(INT(ROUND(ABS('ИСХОДНЫЕ ДАННЫЕ'!$C$31),2))/1000)+1)&amp;" ","")&amp;IF(AND((INT(ROUND(ABS('ИСХОДНЫЕ ДАННЫЕ'!$C$31),2))-INT(INT(ROUND(ABS('ИСХОДНЫЕ ДАННЫЕ'!$C$31),2))/1000)*1000)=0,INT(INT(ROUND(ABS('ИСХОДНЫЕ ДАННЫЕ'!$C$31),2))/1000)&gt;0),"",INDEX('ПРОПИСЬ'!$B$2:$B$1001,(INT(ROUND(ABS('ИСХОДНЫЕ ДАННЫЕ'!$C$31),2))-INT(INT(ROUND(ABS('ИСХОДНЫЕ ДАННЫЕ'!$C$31),2))/1000)*1000)+1)&amp;" ")&amp;INDEX('ПРОПИСЬ'!$C$2:$C$1001,(INT(ROUND(ABS('ИСХОДНЫЕ ДАННЫЕ'!$C$31),2))-INT(INT(ROUND(ABS('ИСХОДНЫЕ ДАННЫЕ'!$C$31),2))/1000)*1000)+1)&amp;" "&amp;INDEX('ПРОПИСЬ'!$D$2:$D$1001,(ROUND(ROUND(ABS('ИСХОДНЫЕ ДАННЫЕ'!$C$31),2)*100,0)-INT(ROUND(ABS('ИСХОДНЫЕ ДАННЫЕ'!$C$31),2))*100)+1)&amp;" "&amp;INDEX('ПРОПИСЬ'!$F$2:$F$1001,(ROUND(ROUND(ABS('ИСХОДНЫЕ ДАННЫЕ'!$C$31),2)*100,0)-INT(ROUND(ABS('ИСХОДНЫЕ ДАННЫЕ'!$C$31),2))*100)+1),1))&amp;MID(IF(INT(INT(ROUND(ABS('ИСХОДНЫЕ ДАННЫЕ'!$C$31),2))/1000)&gt;0,INDEX('ПРОПИСЬ'!$D$2:$D$1001,INT(INT(ROUND(ABS('ИСХОДНЫЕ ДАННЫЕ'!$C$31),2))/1000)+1)&amp;" "&amp;INDEX('ПРОПИСЬ'!$E$2:$E$1001,INT(INT(ROUND(ABS('ИСХОДНЫЕ ДАННЫЕ'!$C$31),2))/1000)+1)&amp;" ","")&amp;IF(AND((INT(ROUND(ABS('ИСХОДНЫЕ ДАННЫЕ'!$C$31),2))-INT(INT(ROUND(ABS('ИСХОДНЫЕ ДАННЫЕ'!$C$31),2))/1000)*1000)=0,INT(INT(ROUND(ABS('ИСХОДНЫЕ ДАННЫЕ'!$C$31),2))/1000)&gt;0),"",INDEX('ПРОПИСЬ'!$B$2:$B$1001,(INT(ROUND(ABS('ИСХОДНЫЕ ДАННЫЕ'!$C$31),2))-INT(INT(ROUND(ABS('ИСХОДНЫЕ ДАННЫЕ'!$C$31),2))/1000)*1000)+1)&amp;" ")&amp;INDEX('ПРОПИСЬ'!$C$2:$C$1001,(INT(ROUND(ABS('ИСХОДНЫЕ ДАННЫЕ'!$C$31),2))-INT(INT(ROUND(ABS('ИСХОДНЫЕ ДАННЫЕ'!$C$31),2))/1000)*1000)+1)&amp;" "&amp;INDEX('ПРОПИСЬ'!$D$2:$D$1001,(ROUND(ROUND(ABS('ИСХОДНЫЕ ДАННЫЕ'!$C$31),2)*100,0)-INT(ROUND(ABS('ИСХОДНЫЕ ДАННЫЕ'!$C$31),2))*100)+1)&amp;" "&amp;INDEX('ПРОПИСЬ'!$F$2:$F$1001,(ROUND(ROUND(ABS('ИСХОДНЫЕ ДАННЫЕ'!$C$31),2)*100,0)-INT(ROUND(ABS('ИСХОДНЫЕ ДАННЫЕ'!$C$31),2))*100)+1),2,300)&amp;").")</f>
        <v/>
      </c>
      <c r="C14" s="78" t="n"/>
      <c r="D14" s="78" t="n"/>
      <c r="E14" s="78" t="n"/>
      <c r="F14" s="78" t="n"/>
    </row>
    <row r="15" ht="32" customHeight="1">
      <c r="B15" s="77">
        <f>IF(ROUND(ROUND('ИСХОДНЫЕ ДАННЫЕ'!$C$8*3,2)+'ИСХОДНЫЕ ДАННЫЕ'!$C$31,2)&gt;=0,"","С учётом переплаты оплата за "&amp;"I квартал "&amp;'ИСХОДНЫЕ ДАННЫЕ'!$C$5&amp;" г."&amp;" не требуется; остаток переплаты — "&amp;IF(INT(INT(ROUND(-ROUND(ROUND('ИСХОДНЫЕ ДАННЫЕ'!$C$8*3,2)+'ИСХОДНЫЕ ДАННЫЕ'!$C$31,2),2))/1000)&gt;0,INT(INT(ROUND(-ROUND(ROUND('ИСХОДНЫЕ ДАННЫЕ'!$C$8*3,2)+'ИСХОДНЫЕ ДАННЫЕ'!$C$31,2),2))/1000)&amp;" "&amp;TEXT((INT(ROUND(-ROUND(ROUND('ИСХОДНЫЕ ДАННЫЕ'!$C$8*3,2)+'ИСХОДНЫЕ ДАННЫЕ'!$C$31,2),2))-INT(INT(ROUND(-ROUND(ROUND('ИСХОДНЫЕ ДАННЫЕ'!$C$8*3,2)+'ИСХОДНЫЕ ДАННЫЕ'!$C$31,2),2))/1000)*1000),"000"),(INT(ROUND(-ROUND(ROUND('ИСХОДНЫЕ ДАННЫЕ'!$C$8*3,2)+'ИСХОДНЫЕ ДАННЫЕ'!$C$31,2),2))-INT(INT(ROUND(-ROUND(ROUND('ИСХОДНЫЕ ДАННЫЕ'!$C$8*3,2)+'ИСХОДНЫЕ ДАННЫЕ'!$C$31,2),2))/1000)*1000)&amp;"")&amp;","&amp;TEXT((ROUND(ROUND(-ROUND(ROUND('ИСХОДНЫЕ ДАННЫЕ'!$C$8*3,2)+'ИСХОДНЫЕ ДАННЫЕ'!$C$31,2),2)*100,0)-INT(ROUND(-ROUND(ROUND('ИСХОДНЫЕ ДАННЫЕ'!$C$8*3,2)+'ИСХОДНЫЕ ДАННЫЕ'!$C$31,2),2))*100),"00")&amp;" руб.")</f>
        <v/>
      </c>
      <c r="C15" s="77" t="n"/>
      <c r="D15" s="77" t="n"/>
      <c r="E15" s="77" t="n"/>
      <c r="F15" s="77" t="n"/>
    </row>
    <row r="16" ht="90" customHeight="1">
      <c r="B16" s="77">
        <f>"Для сведения и сверки оплат направляю акт взаимных расчётов по взносам на капитальный ремонт по квартире № "&amp;'ИСХОДНЫЕ ДАННЫЕ'!$C$12&amp;" с учётом всех поступивших платежей на специальный счёт МКД "&amp;'ИСХОДНЫЕ ДАННЫЕ'!$C$14&amp;" (р/счёт "&amp;'ИСХОДНЫЕ ДАННЫЕ'!$C$45&amp;") по состоянию расчётов на "&amp;TEXT(DAY('ИСХОДНЫЕ ДАННЫЕ'!$E$31),"00")&amp;"."&amp;TEXT(MONTH('ИСХОДНЫЕ ДАННЫЕ'!$E$31),"00")&amp;"."&amp;YEAR('ИСХОДНЫЕ ДАННЫЕ'!$E$31)&amp;" и с учётом начислений по "&amp;"март "&amp;'ИСХОДНЫЕ ДАННЫЕ'!$C$5&amp;" года включительно."</f>
        <v/>
      </c>
      <c r="C16" s="77" t="n"/>
      <c r="D16" s="77" t="n"/>
      <c r="E16" s="77" t="n"/>
      <c r="F16" s="77" t="n"/>
    </row>
    <row r="17" ht="10" customHeight="1"/>
    <row r="18" ht="54" customHeight="1">
      <c r="B18" s="77">
        <f>"В случае возникновения дополнительных вопросов прошу связаться со мной по электронной почте "&amp;'ИСХОДНЫЕ ДАННЫЕ'!$C$22&amp;" или по телефону "&amp;'ИСХОДНЫЕ ДАННЫЕ'!$C$21&amp;"."</f>
        <v/>
      </c>
      <c r="C18" s="77" t="n"/>
      <c r="D18" s="77" t="n"/>
      <c r="E18" s="77" t="n"/>
      <c r="F18" s="77" t="n"/>
    </row>
    <row r="19" ht="14" customHeight="1"/>
    <row r="20" ht="20" customHeight="1">
      <c r="B20" s="76" t="inlineStr">
        <is>
          <t>ПРИЛОЖЕНИЯ:</t>
        </is>
      </c>
      <c r="C20" s="76" t="n"/>
      <c r="D20" s="76" t="n"/>
      <c r="E20" s="76" t="n"/>
      <c r="F20" s="76" t="n"/>
    </row>
    <row r="21" ht="18" customHeight="1">
      <c r="B21" s="77">
        <f>"1) Акт взаимных расчётов по состоянию на "&amp;TEXT(DAY('ИСХОДНЫЕ ДАННЫЕ'!$E$31),"00")&amp;"."&amp;TEXT(MONTH('ИСХОДНЫЕ ДАННЫЕ'!$E$31),"00")&amp;"."&amp;YEAR('ИСХОДНЫЕ ДАННЫЕ'!$E$31)&amp;" — один экземпляр на 1 л."</f>
        <v/>
      </c>
      <c r="C21" s="77" t="n"/>
      <c r="D21" s="77" t="n"/>
      <c r="E21" s="77" t="n"/>
      <c r="F21" s="77" t="n"/>
    </row>
    <row r="22" ht="18" customHeight="1">
      <c r="B22" s="77">
        <f>"2) Квитанция для оплаты за "&amp;"I квартал "&amp;'ИСХОДНЫЕ ДАННЫЕ'!$C$5&amp;" г."&amp;" — один экземпляр на 1 л."</f>
        <v/>
      </c>
      <c r="C22" s="77" t="n"/>
      <c r="D22" s="77" t="n"/>
      <c r="E22" s="77" t="n"/>
      <c r="F22" s="77" t="n"/>
    </row>
    <row r="23" ht="26" customHeight="1"/>
    <row r="24" ht="20" customHeight="1">
      <c r="B24" s="77">
        <f>"«______» ______________ "&amp;'ИСХОДНЫЕ ДАННЫЕ'!$C$5&amp;" г."</f>
        <v/>
      </c>
      <c r="C24" s="77" t="n"/>
    </row>
    <row r="25" ht="16" customHeight="1"/>
    <row r="26" ht="16" customHeight="1">
      <c r="B26" s="77" t="inlineStr">
        <is>
          <t>Председатель</t>
        </is>
      </c>
      <c r="C26" s="77" t="n"/>
    </row>
    <row r="27" ht="16" customHeight="1">
      <c r="B27" s="77">
        <f>"МКД "&amp;'ИСХОДНЫЕ ДАННЫЕ'!$C$15</f>
        <v/>
      </c>
      <c r="C27" s="77" t="n"/>
      <c r="D27" s="79">
        <f>"___________________  /"&amp;'ИСХОДНЫЕ ДАННЫЕ'!$C$19&amp;"/"</f>
        <v/>
      </c>
      <c r="E27" s="79" t="n"/>
      <c r="F27" s="79" t="n"/>
    </row>
  </sheetData>
  <mergeCells count="21">
    <mergeCell ref="D2:F2"/>
    <mergeCell ref="D27:F27"/>
    <mergeCell ref="B16:F16"/>
    <mergeCell ref="B22:F22"/>
    <mergeCell ref="B27:C27"/>
    <mergeCell ref="B18:F18"/>
    <mergeCell ref="B21:F21"/>
    <mergeCell ref="B11:F11"/>
    <mergeCell ref="D4:F4"/>
    <mergeCell ref="D3:F3"/>
    <mergeCell ref="B14:F14"/>
    <mergeCell ref="B8:F8"/>
    <mergeCell ref="B13:F13"/>
    <mergeCell ref="D5:F5"/>
    <mergeCell ref="B10:F10"/>
    <mergeCell ref="D1:F1"/>
    <mergeCell ref="B24:C24"/>
    <mergeCell ref="B20:F20"/>
    <mergeCell ref="B15:F15"/>
    <mergeCell ref="B26:C26"/>
    <mergeCell ref="D6:F6"/>
  </mergeCells>
  <pageMargins left="0.59" right="0.39" top="0.51" bottom="0.51" header="0.5" footer="0.5"/>
  <pageSetup orientation="portrait" paperSize="9" fitToHeight="1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B1:F27"/>
  <sheetViews>
    <sheetView showGridLines="0" workbookViewId="0">
      <selection activeCell="A1" sqref="A1"/>
    </sheetView>
  </sheetViews>
  <sheetFormatPr baseColWidth="8" defaultRowHeight="15"/>
  <cols>
    <col width="0.8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0.8" customWidth="1" min="7" max="7"/>
  </cols>
  <sheetData>
    <row r="1" ht="32" customHeight="1">
      <c r="D1" s="76">
        <f>"В "&amp;'ИСХОДНЫЕ ДАННЫЕ'!$C$25</f>
        <v/>
      </c>
      <c r="E1" s="76" t="n"/>
      <c r="F1" s="76" t="n"/>
    </row>
    <row r="2" ht="16" customHeight="1">
      <c r="D2" s="76">
        <f>IF('ИСХОДНЫЕ ДАННЫЕ'!$C$27="","",'ИСХОДНЫЕ ДАННЫЕ'!$C$26&amp;" "&amp;'ИСХОДНЫЕ ДАННЫЕ'!$C$27)</f>
        <v/>
      </c>
      <c r="E2" s="76" t="n"/>
      <c r="F2" s="76" t="n"/>
    </row>
    <row r="3" ht="32" customHeight="1">
      <c r="D3" s="77">
        <f>"от Председателя МКД "&amp;'ИСХОДНЫЕ ДАННЫЕ'!$C$15&amp;", "&amp;'ИСХОДНЫЕ ДАННЫЕ'!$C$18</f>
        <v/>
      </c>
      <c r="E3" s="77" t="n"/>
      <c r="F3" s="77" t="n"/>
    </row>
    <row r="4" ht="32" customHeight="1">
      <c r="D4" s="77">
        <f>"проживающей по адресу: "&amp;'ИСХОДНЫЕ ДАННЫЕ'!$C$20</f>
        <v/>
      </c>
      <c r="E4" s="77" t="n"/>
      <c r="F4" s="77" t="n"/>
    </row>
    <row r="5" ht="16" customHeight="1">
      <c r="D5" s="77">
        <f>"Конт. тел.: "&amp;'ИСХОДНЫЕ ДАННЫЕ'!$C$21</f>
        <v/>
      </c>
      <c r="E5" s="77" t="n"/>
      <c r="F5" s="77" t="n"/>
    </row>
    <row r="6" ht="16" customHeight="1">
      <c r="D6" s="77">
        <f>"Эл. почта: "&amp;'ИСХОДНЫЕ ДАННЫЕ'!$C$22</f>
        <v/>
      </c>
      <c r="E6" s="77" t="n"/>
      <c r="F6" s="77" t="n"/>
    </row>
    <row r="7" ht="18" customHeight="1"/>
    <row r="8" ht="54" customHeight="1">
      <c r="B8" s="77">
        <f>"В связи с тем, что на балансе департамента числится кв. № "&amp;'ИСХОДНЫЕ ДАННЫЕ'!$C$12&amp;" по адресу: "&amp;'ИСХОДНЫЕ ДАННЫЕ'!$C$14&amp;", сообщаю Вам "&amp;IF(MAX(0,ROUND(ROUND('ИСХОДНЫЕ ДАННЫЕ'!$C$8*3,2)+'ИСХОДНЫЕ ДАННЫЕ'!$C$32,2))&gt;0,"о необходимости оплатить "&amp;IF(INT(INT(ROUND(MAX(0,ROUND(ROUND('ИСХОДНЫЕ ДАННЫЕ'!$C$8*3,2)+'ИСХОДНЫЕ ДАННЫЕ'!$C$32,2)),2))/1000)&gt;0,INT(INT(ROUND(MAX(0,ROUND(ROUND('ИСХОДНЫЕ ДАННЫЕ'!$C$8*3,2)+'ИСХОДНЫЕ ДАННЫЕ'!$C$32,2)),2))/1000)&amp;" "&amp;TEXT((INT(ROUND(MAX(0,ROUND(ROUND('ИСХОДНЫЕ ДАННЫЕ'!$C$8*3,2)+'ИСХОДНЫЕ ДАННЫЕ'!$C$32,2)),2))-INT(INT(ROUND(MAX(0,ROUND(ROUND('ИСХОДНЫЕ ДАННЫЕ'!$C$8*3,2)+'ИСХОДНЫЕ ДАННЫЕ'!$C$32,2)),2))/1000)*1000),"000"),(INT(ROUND(MAX(0,ROUND(ROUND('ИСХОДНЫЕ ДАННЫЕ'!$C$8*3,2)+'ИСХОДНЫЕ ДАННЫЕ'!$C$32,2)),2))-INT(INT(ROUND(MAX(0,ROUND(ROUND('ИСХОДНЫЕ ДАННЫЕ'!$C$8*3,2)+'ИСХОДНЫЕ ДАННЫЕ'!$C$32,2)),2))/1000)*1000)&amp;"")&amp;","&amp;TEXT((ROUND(ROUND(MAX(0,ROUND(ROUND('ИСХОДНЫЕ ДАННЫЕ'!$C$8*3,2)+'ИСХОДНЫЕ ДАННЫЕ'!$C$32,2)),2)*100,0)-INT(ROUND(MAX(0,ROUND(ROUND('ИСХОДНЫЕ ДАННЫЕ'!$C$8*3,2)+'ИСХОДНЫЕ ДАННЫЕ'!$C$32,2)),2))*100),"00")&amp;" руб., в том числе:","о состоянии расчётов за "&amp;"II квартал "&amp;'ИСХОДНЫЕ ДАННЫЕ'!$C$5&amp;" г."&amp;":")</f>
        <v/>
      </c>
      <c r="C8" s="77" t="n"/>
      <c r="D8" s="77" t="n"/>
      <c r="E8" s="77" t="n"/>
      <c r="F8" s="77" t="n"/>
    </row>
    <row r="9" ht="8" customHeight="1"/>
    <row r="10" ht="38" customHeight="1">
      <c r="B10" s="77">
        <f>"— текущий платёж за период с апреля по июнь "&amp;'ИСХОДНЫЕ ДАННЫЕ'!$C$5&amp;" года ("&amp;"II квартал "&amp;'ИСХОДНЫЕ ДАННЫЕ'!$C$5&amp;" г."&amp;") в размере "&amp;IF(INT(INT(ROUND(ROUND('ИСХОДНЫЕ ДАННЫЕ'!$C$8*3,2),2))/1000)&gt;0,INT(INT(ROUND(ROUND('ИСХОДНЫЕ ДАННЫЕ'!$C$8*3,2),2))/1000)&amp;" "&amp;TEXT((INT(ROUND(ROUND('ИСХОДНЫЕ ДАННЫЕ'!$C$8*3,2),2))-INT(INT(ROUND(ROUND('ИСХОДНЫЕ ДАННЫЕ'!$C$8*3,2),2))/1000)*1000),"000"),(INT(ROUND(ROUND('ИСХОДНЫЕ ДАННЫЕ'!$C$8*3,2),2))-INT(INT(ROUND(ROUND('ИСХОДНЫЕ ДАННЫЕ'!$C$8*3,2),2))/1000)*1000)&amp;"")&amp;","&amp;TEXT((ROUND(ROUND(ROUND('ИСХОДНЫЕ ДАННЫЕ'!$C$8*3,2),2)*100,0)-INT(ROUND(ROUND('ИСХОДНЫЕ ДАННЫЕ'!$C$8*3,2),2))*100),"00")&amp;" рублей"</f>
        <v/>
      </c>
      <c r="C10" s="77" t="n"/>
      <c r="D10" s="77" t="n"/>
      <c r="E10" s="77" t="n"/>
      <c r="F10" s="77" t="n"/>
    </row>
    <row r="11" ht="18" customHeight="1">
      <c r="B11" s="78">
        <f>"("&amp;UPPER(LEFT(IF(INT(INT(ROUND(ROUND('ИСХОДНЫЕ ДАННЫЕ'!$C$8*3,2),2))/1000)&gt;0,INDEX('ПРОПИСЬ'!$D$2:$D$1001,INT(INT(ROUND(ROUND('ИСХОДНЫЕ ДАННЫЕ'!$C$8*3,2),2))/1000)+1)&amp;" "&amp;INDEX('ПРОПИСЬ'!$E$2:$E$1001,INT(INT(ROUND(ROUND('ИСХОДНЫЕ ДАННЫЕ'!$C$8*3,2),2))/1000)+1)&amp;" ","")&amp;IF(AND((INT(ROUND(ROUND('ИСХОДНЫЕ ДАННЫЕ'!$C$8*3,2),2))-INT(INT(ROUND(ROUND('ИСХОДНЫЕ ДАННЫЕ'!$C$8*3,2),2))/1000)*1000)=0,INT(INT(ROUND(ROUND('ИСХОДНЫЕ ДАННЫЕ'!$C$8*3,2),2))/1000)&gt;0),"",INDEX('ПРОПИСЬ'!$B$2:$B$1001,(INT(ROUND(ROUND('ИСХОДНЫЕ ДАННЫЕ'!$C$8*3,2),2))-INT(INT(ROUND(ROUND('ИСХОДНЫЕ ДАННЫЕ'!$C$8*3,2),2))/1000)*1000)+1)&amp;" ")&amp;INDEX('ПРОПИСЬ'!$C$2:$C$1001,(INT(ROUND(ROUND('ИСХОДНЫЕ ДАННЫЕ'!$C$8*3,2),2))-INT(INT(ROUND(ROUND('ИСХОДНЫЕ ДАННЫЕ'!$C$8*3,2),2))/1000)*1000)+1)&amp;" "&amp;INDEX('ПРОПИСЬ'!$D$2:$D$1001,(ROUND(ROUND(ROUND('ИСХОДНЫЕ ДАННЫЕ'!$C$8*3,2),2)*100,0)-INT(ROUND(ROUND('ИСХОДНЫЕ ДАННЫЕ'!$C$8*3,2),2))*100)+1)&amp;" "&amp;INDEX('ПРОПИСЬ'!$F$2:$F$1001,(ROUND(ROUND(ROUND('ИСХОДНЫЕ ДАННЫЕ'!$C$8*3,2),2)*100,0)-INT(ROUND(ROUND('ИСХОДНЫЕ ДАННЫЕ'!$C$8*3,2),2))*100)+1),1))&amp;MID(IF(INT(INT(ROUND(ROUND('ИСХОДНЫЕ ДАННЫЕ'!$C$8*3,2),2))/1000)&gt;0,INDEX('ПРОПИСЬ'!$D$2:$D$1001,INT(INT(ROUND(ROUND('ИСХОДНЫЕ ДАННЫЕ'!$C$8*3,2),2))/1000)+1)&amp;" "&amp;INDEX('ПРОПИСЬ'!$E$2:$E$1001,INT(INT(ROUND(ROUND('ИСХОДНЫЕ ДАННЫЕ'!$C$8*3,2),2))/1000)+1)&amp;" ","")&amp;IF(AND((INT(ROUND(ROUND('ИСХОДНЫЕ ДАННЫЕ'!$C$8*3,2),2))-INT(INT(ROUND(ROUND('ИСХОДНЫЕ ДАННЫЕ'!$C$8*3,2),2))/1000)*1000)=0,INT(INT(ROUND(ROUND('ИСХОДНЫЕ ДАННЫЕ'!$C$8*3,2),2))/1000)&gt;0),"",INDEX('ПРОПИСЬ'!$B$2:$B$1001,(INT(ROUND(ROUND('ИСХОДНЫЕ ДАННЫЕ'!$C$8*3,2),2))-INT(INT(ROUND(ROUND('ИСХОДНЫЕ ДАННЫЕ'!$C$8*3,2),2))/1000)*1000)+1)&amp;" ")&amp;INDEX('ПРОПИСЬ'!$C$2:$C$1001,(INT(ROUND(ROUND('ИСХОДНЫЕ ДАННЫЕ'!$C$8*3,2),2))-INT(INT(ROUND(ROUND('ИСХОДНЫЕ ДАННЫЕ'!$C$8*3,2),2))/1000)*1000)+1)&amp;" "&amp;INDEX('ПРОПИСЬ'!$D$2:$D$1001,(ROUND(ROUND(ROUND('ИСХОДНЫЕ ДАННЫЕ'!$C$8*3,2),2)*100,0)-INT(ROUND(ROUND('ИСХОДНЫЕ ДАННЫЕ'!$C$8*3,2),2))*100)+1)&amp;" "&amp;INDEX('ПРОПИСЬ'!$F$2:$F$1001,(ROUND(ROUND(ROUND('ИСХОДНЫЕ ДАННЫЕ'!$C$8*3,2),2)*100,0)-INT(ROUND(ROUND('ИСХОДНЫЕ ДАННЫЕ'!$C$8*3,2),2))*100)+1),2,300)&amp;")."</f>
        <v/>
      </c>
      <c r="C11" s="78" t="n"/>
      <c r="D11" s="78" t="n"/>
      <c r="E11" s="78" t="n"/>
      <c r="F11" s="78" t="n"/>
    </row>
    <row r="12" ht="6" customHeight="1"/>
    <row r="13" ht="32" customHeight="1">
      <c r="B13" s="77">
        <f>IF('ИСХОДНЫЕ ДАННЫЕ'!$C$32=0,"— задолженности за предыдущие периоды нет.",IF('ИСХОДНЫЕ ДАННЫЕ'!$C$32&lt;0,"— на лицевом счёте числится переплата "&amp;IF(INT(INT(ROUND(-'ИСХОДНЫЕ ДАННЫЕ'!$C$32,2))/1000)&gt;0,INT(INT(ROUND(-'ИСХОДНЫЕ ДАННЫЕ'!$C$32,2))/1000)&amp;" "&amp;TEXT((INT(ROUND(-'ИСХОДНЫЕ ДАННЫЕ'!$C$32,2))-INT(INT(ROUND(-'ИСХОДНЫЕ ДАННЫЕ'!$C$32,2))/1000)*1000),"000"),(INT(ROUND(-'ИСХОДНЫЕ ДАННЫЕ'!$C$32,2))-INT(INT(ROUND(-'ИСХОДНЫЕ ДАННЫЕ'!$C$32,2))/1000)*1000)&amp;"")&amp;","&amp;TEXT((ROUND(ROUND(-'ИСХОДНЫЕ ДАННЫЕ'!$C$32,2)*100,0)-INT(ROUND(-'ИСХОДНЫЕ ДАННЫЕ'!$C$32,2))*100),"00")&amp;" рублей","— задолженность "&amp;IF('ИСХОДНЫЕ ДАННЫЕ'!$D$32="","за предыдущие периоды",'ИСХОДНЫЕ ДАННЫЕ'!$D$32)&amp;" в размере "&amp;IF(INT(INT(ROUND('ИСХОДНЫЕ ДАННЫЕ'!$C$32,2))/1000)&gt;0,INT(INT(ROUND('ИСХОДНЫЕ ДАННЫЕ'!$C$32,2))/1000)&amp;" "&amp;TEXT((INT(ROUND('ИСХОДНЫЕ ДАННЫЕ'!$C$32,2))-INT(INT(ROUND('ИСХОДНЫЕ ДАННЫЕ'!$C$32,2))/1000)*1000),"000"),(INT(ROUND('ИСХОДНЫЕ ДАННЫЕ'!$C$32,2))-INT(INT(ROUND('ИСХОДНЫЕ ДАННЫЕ'!$C$32,2))/1000)*1000)&amp;"")&amp;","&amp;TEXT((ROUND(ROUND('ИСХОДНЫЕ ДАННЫЕ'!$C$32,2)*100,0)-INT(ROUND('ИСХОДНЫЕ ДАННЫЕ'!$C$32,2))*100),"00")&amp;" рублей"))</f>
        <v/>
      </c>
      <c r="C13" s="77" t="n"/>
      <c r="D13" s="77" t="n"/>
      <c r="E13" s="77" t="n"/>
      <c r="F13" s="77" t="n"/>
    </row>
    <row r="14" ht="18" customHeight="1">
      <c r="B14" s="78">
        <f>IF('ИСХОДНЫЕ ДАННЫЕ'!$C$32=0,"","("&amp;UPPER(LEFT(IF(INT(INT(ROUND(ABS('ИСХОДНЫЕ ДАННЫЕ'!$C$32),2))/1000)&gt;0,INDEX('ПРОПИСЬ'!$D$2:$D$1001,INT(INT(ROUND(ABS('ИСХОДНЫЕ ДАННЫЕ'!$C$32),2))/1000)+1)&amp;" "&amp;INDEX('ПРОПИСЬ'!$E$2:$E$1001,INT(INT(ROUND(ABS('ИСХОДНЫЕ ДАННЫЕ'!$C$32),2))/1000)+1)&amp;" ","")&amp;IF(AND((INT(ROUND(ABS('ИСХОДНЫЕ ДАННЫЕ'!$C$32),2))-INT(INT(ROUND(ABS('ИСХОДНЫЕ ДАННЫЕ'!$C$32),2))/1000)*1000)=0,INT(INT(ROUND(ABS('ИСХОДНЫЕ ДАННЫЕ'!$C$32),2))/1000)&gt;0),"",INDEX('ПРОПИСЬ'!$B$2:$B$1001,(INT(ROUND(ABS('ИСХОДНЫЕ ДАННЫЕ'!$C$32),2))-INT(INT(ROUND(ABS('ИСХОДНЫЕ ДАННЫЕ'!$C$32),2))/1000)*1000)+1)&amp;" ")&amp;INDEX('ПРОПИСЬ'!$C$2:$C$1001,(INT(ROUND(ABS('ИСХОДНЫЕ ДАННЫЕ'!$C$32),2))-INT(INT(ROUND(ABS('ИСХОДНЫЕ ДАННЫЕ'!$C$32),2))/1000)*1000)+1)&amp;" "&amp;INDEX('ПРОПИСЬ'!$D$2:$D$1001,(ROUND(ROUND(ABS('ИСХОДНЫЕ ДАННЫЕ'!$C$32),2)*100,0)-INT(ROUND(ABS('ИСХОДНЫЕ ДАННЫЕ'!$C$32),2))*100)+1)&amp;" "&amp;INDEX('ПРОПИСЬ'!$F$2:$F$1001,(ROUND(ROUND(ABS('ИСХОДНЫЕ ДАННЫЕ'!$C$32),2)*100,0)-INT(ROUND(ABS('ИСХОДНЫЕ ДАННЫЕ'!$C$32),2))*100)+1),1))&amp;MID(IF(INT(INT(ROUND(ABS('ИСХОДНЫЕ ДАННЫЕ'!$C$32),2))/1000)&gt;0,INDEX('ПРОПИСЬ'!$D$2:$D$1001,INT(INT(ROUND(ABS('ИСХОДНЫЕ ДАННЫЕ'!$C$32),2))/1000)+1)&amp;" "&amp;INDEX('ПРОПИСЬ'!$E$2:$E$1001,INT(INT(ROUND(ABS('ИСХОДНЫЕ ДАННЫЕ'!$C$32),2))/1000)+1)&amp;" ","")&amp;IF(AND((INT(ROUND(ABS('ИСХОДНЫЕ ДАННЫЕ'!$C$32),2))-INT(INT(ROUND(ABS('ИСХОДНЫЕ ДАННЫЕ'!$C$32),2))/1000)*1000)=0,INT(INT(ROUND(ABS('ИСХОДНЫЕ ДАННЫЕ'!$C$32),2))/1000)&gt;0),"",INDEX('ПРОПИСЬ'!$B$2:$B$1001,(INT(ROUND(ABS('ИСХОДНЫЕ ДАННЫЕ'!$C$32),2))-INT(INT(ROUND(ABS('ИСХОДНЫЕ ДАННЫЕ'!$C$32),2))/1000)*1000)+1)&amp;" ")&amp;INDEX('ПРОПИСЬ'!$C$2:$C$1001,(INT(ROUND(ABS('ИСХОДНЫЕ ДАННЫЕ'!$C$32),2))-INT(INT(ROUND(ABS('ИСХОДНЫЕ ДАННЫЕ'!$C$32),2))/1000)*1000)+1)&amp;" "&amp;INDEX('ПРОПИСЬ'!$D$2:$D$1001,(ROUND(ROUND(ABS('ИСХОДНЫЕ ДАННЫЕ'!$C$32),2)*100,0)-INT(ROUND(ABS('ИСХОДНЫЕ ДАННЫЕ'!$C$32),2))*100)+1)&amp;" "&amp;INDEX('ПРОПИСЬ'!$F$2:$F$1001,(ROUND(ROUND(ABS('ИСХОДНЫЕ ДАННЫЕ'!$C$32),2)*100,0)-INT(ROUND(ABS('ИСХОДНЫЕ ДАННЫЕ'!$C$32),2))*100)+1),2,300)&amp;").")</f>
        <v/>
      </c>
      <c r="C14" s="78" t="n"/>
      <c r="D14" s="78" t="n"/>
      <c r="E14" s="78" t="n"/>
      <c r="F14" s="78" t="n"/>
    </row>
    <row r="15" ht="32" customHeight="1">
      <c r="B15" s="77">
        <f>IF(ROUND(ROUND('ИСХОДНЫЕ ДАННЫЕ'!$C$8*3,2)+'ИСХОДНЫЕ ДАННЫЕ'!$C$32,2)&gt;=0,"","С учётом переплаты оплата за "&amp;"II квартал "&amp;'ИСХОДНЫЕ ДАННЫЕ'!$C$5&amp;" г."&amp;" не требуется; остаток переплаты — "&amp;IF(INT(INT(ROUND(-ROUND(ROUND('ИСХОДНЫЕ ДАННЫЕ'!$C$8*3,2)+'ИСХОДНЫЕ ДАННЫЕ'!$C$32,2),2))/1000)&gt;0,INT(INT(ROUND(-ROUND(ROUND('ИСХОДНЫЕ ДАННЫЕ'!$C$8*3,2)+'ИСХОДНЫЕ ДАННЫЕ'!$C$32,2),2))/1000)&amp;" "&amp;TEXT((INT(ROUND(-ROUND(ROUND('ИСХОДНЫЕ ДАННЫЕ'!$C$8*3,2)+'ИСХОДНЫЕ ДАННЫЕ'!$C$32,2),2))-INT(INT(ROUND(-ROUND(ROUND('ИСХОДНЫЕ ДАННЫЕ'!$C$8*3,2)+'ИСХОДНЫЕ ДАННЫЕ'!$C$32,2),2))/1000)*1000),"000"),(INT(ROUND(-ROUND(ROUND('ИСХОДНЫЕ ДАННЫЕ'!$C$8*3,2)+'ИСХОДНЫЕ ДАННЫЕ'!$C$32,2),2))-INT(INT(ROUND(-ROUND(ROUND('ИСХОДНЫЕ ДАННЫЕ'!$C$8*3,2)+'ИСХОДНЫЕ ДАННЫЕ'!$C$32,2),2))/1000)*1000)&amp;"")&amp;","&amp;TEXT((ROUND(ROUND(-ROUND(ROUND('ИСХОДНЫЕ ДАННЫЕ'!$C$8*3,2)+'ИСХОДНЫЕ ДАННЫЕ'!$C$32,2),2)*100,0)-INT(ROUND(-ROUND(ROUND('ИСХОДНЫЕ ДАННЫЕ'!$C$8*3,2)+'ИСХОДНЫЕ ДАННЫЕ'!$C$32,2),2))*100),"00")&amp;" руб.")</f>
        <v/>
      </c>
      <c r="C15" s="77" t="n"/>
      <c r="D15" s="77" t="n"/>
      <c r="E15" s="77" t="n"/>
      <c r="F15" s="77" t="n"/>
    </row>
    <row r="16" ht="90" customHeight="1">
      <c r="B16" s="77">
        <f>"Для сведения и сверки оплат направляю акт взаимных расчётов по взносам на капитальный ремонт по квартире № "&amp;'ИСХОДНЫЕ ДАННЫЕ'!$C$12&amp;" с учётом всех поступивших платежей на специальный счёт МКД "&amp;'ИСХОДНЫЕ ДАННЫЕ'!$C$14&amp;" (р/счёт "&amp;'ИСХОДНЫЕ ДАННЫЕ'!$C$45&amp;") по состоянию расчётов на "&amp;TEXT(DAY('ИСХОДНЫЕ ДАННЫЕ'!$E$32),"00")&amp;"."&amp;TEXT(MONTH('ИСХОДНЫЕ ДАННЫЕ'!$E$32),"00")&amp;"."&amp;YEAR('ИСХОДНЫЕ ДАННЫЕ'!$E$32)&amp;" и с учётом начислений по "&amp;"июнь "&amp;'ИСХОДНЫЕ ДАННЫЕ'!$C$5&amp;" года включительно."</f>
        <v/>
      </c>
      <c r="C16" s="77" t="n"/>
      <c r="D16" s="77" t="n"/>
      <c r="E16" s="77" t="n"/>
      <c r="F16" s="77" t="n"/>
    </row>
    <row r="17" ht="10" customHeight="1"/>
    <row r="18" ht="54" customHeight="1">
      <c r="B18" s="77">
        <f>"В случае возникновения дополнительных вопросов прошу связаться со мной по электронной почте "&amp;'ИСХОДНЫЕ ДАННЫЕ'!$C$22&amp;" или по телефону "&amp;'ИСХОДНЫЕ ДАННЫЕ'!$C$21&amp;"."</f>
        <v/>
      </c>
      <c r="C18" s="77" t="n"/>
      <c r="D18" s="77" t="n"/>
      <c r="E18" s="77" t="n"/>
      <c r="F18" s="77" t="n"/>
    </row>
    <row r="19" ht="14" customHeight="1"/>
    <row r="20" ht="20" customHeight="1">
      <c r="B20" s="76" t="inlineStr">
        <is>
          <t>ПРИЛОЖЕНИЯ:</t>
        </is>
      </c>
      <c r="C20" s="76" t="n"/>
      <c r="D20" s="76" t="n"/>
      <c r="E20" s="76" t="n"/>
      <c r="F20" s="76" t="n"/>
    </row>
    <row r="21" ht="18" customHeight="1">
      <c r="B21" s="77">
        <f>"1) Акт взаимных расчётов по состоянию на "&amp;TEXT(DAY('ИСХОДНЫЕ ДАННЫЕ'!$E$32),"00")&amp;"."&amp;TEXT(MONTH('ИСХОДНЫЕ ДАННЫЕ'!$E$32),"00")&amp;"."&amp;YEAR('ИСХОДНЫЕ ДАННЫЕ'!$E$32)&amp;" — один экземпляр на 1 л."</f>
        <v/>
      </c>
      <c r="C21" s="77" t="n"/>
      <c r="D21" s="77" t="n"/>
      <c r="E21" s="77" t="n"/>
      <c r="F21" s="77" t="n"/>
    </row>
    <row r="22" ht="18" customHeight="1">
      <c r="B22" s="77">
        <f>"2) Квитанция для оплаты за "&amp;"II квартал "&amp;'ИСХОДНЫЕ ДАННЫЕ'!$C$5&amp;" г."&amp;" — один экземпляр на 1 л."</f>
        <v/>
      </c>
      <c r="C22" s="77" t="n"/>
      <c r="D22" s="77" t="n"/>
      <c r="E22" s="77" t="n"/>
      <c r="F22" s="77" t="n"/>
    </row>
    <row r="23" ht="26" customHeight="1"/>
    <row r="24" ht="20" customHeight="1">
      <c r="B24" s="77">
        <f>"«______» ______________ "&amp;'ИСХОДНЫЕ ДАННЫЕ'!$C$5&amp;" г."</f>
        <v/>
      </c>
      <c r="C24" s="77" t="n"/>
    </row>
    <row r="25" ht="16" customHeight="1"/>
    <row r="26" ht="16" customHeight="1">
      <c r="B26" s="77" t="inlineStr">
        <is>
          <t>Председатель</t>
        </is>
      </c>
      <c r="C26" s="77" t="n"/>
    </row>
    <row r="27" ht="16" customHeight="1">
      <c r="B27" s="77">
        <f>"МКД "&amp;'ИСХОДНЫЕ ДАННЫЕ'!$C$15</f>
        <v/>
      </c>
      <c r="C27" s="77" t="n"/>
      <c r="D27" s="79">
        <f>"___________________  /"&amp;'ИСХОДНЫЕ ДАННЫЕ'!$C$19&amp;"/"</f>
        <v/>
      </c>
      <c r="E27" s="79" t="n"/>
      <c r="F27" s="79" t="n"/>
    </row>
  </sheetData>
  <mergeCells count="21">
    <mergeCell ref="D2:F2"/>
    <mergeCell ref="D27:F27"/>
    <mergeCell ref="B16:F16"/>
    <mergeCell ref="B22:F22"/>
    <mergeCell ref="B27:C27"/>
    <mergeCell ref="B18:F18"/>
    <mergeCell ref="B21:F21"/>
    <mergeCell ref="B11:F11"/>
    <mergeCell ref="D4:F4"/>
    <mergeCell ref="D3:F3"/>
    <mergeCell ref="B14:F14"/>
    <mergeCell ref="B8:F8"/>
    <mergeCell ref="B13:F13"/>
    <mergeCell ref="D5:F5"/>
    <mergeCell ref="B10:F10"/>
    <mergeCell ref="D1:F1"/>
    <mergeCell ref="B24:C24"/>
    <mergeCell ref="B20:F20"/>
    <mergeCell ref="B15:F15"/>
    <mergeCell ref="B26:C26"/>
    <mergeCell ref="D6:F6"/>
  </mergeCells>
  <pageMargins left="0.59" right="0.39" top="0.51" bottom="0.51" header="0.5" footer="0.5"/>
  <pageSetup orientation="portrait" paperSize="9" fitToHeight="1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B1:F27"/>
  <sheetViews>
    <sheetView showGridLines="0" workbookViewId="0">
      <selection activeCell="A1" sqref="A1"/>
    </sheetView>
  </sheetViews>
  <sheetFormatPr baseColWidth="8" defaultRowHeight="15"/>
  <cols>
    <col width="0.8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0.8" customWidth="1" min="7" max="7"/>
  </cols>
  <sheetData>
    <row r="1" ht="32" customHeight="1">
      <c r="D1" s="76">
        <f>"В "&amp;'ИСХОДНЫЕ ДАННЫЕ'!$C$25</f>
        <v/>
      </c>
      <c r="E1" s="76" t="n"/>
      <c r="F1" s="76" t="n"/>
    </row>
    <row r="2" ht="16" customHeight="1">
      <c r="D2" s="76">
        <f>IF('ИСХОДНЫЕ ДАННЫЕ'!$C$27="","",'ИСХОДНЫЕ ДАННЫЕ'!$C$26&amp;" "&amp;'ИСХОДНЫЕ ДАННЫЕ'!$C$27)</f>
        <v/>
      </c>
      <c r="E2" s="76" t="n"/>
      <c r="F2" s="76" t="n"/>
    </row>
    <row r="3" ht="32" customHeight="1">
      <c r="D3" s="77">
        <f>"от Председателя МКД "&amp;'ИСХОДНЫЕ ДАННЫЕ'!$C$15&amp;", "&amp;'ИСХОДНЫЕ ДАННЫЕ'!$C$18</f>
        <v/>
      </c>
      <c r="E3" s="77" t="n"/>
      <c r="F3" s="77" t="n"/>
    </row>
    <row r="4" ht="32" customHeight="1">
      <c r="D4" s="77">
        <f>"проживающей по адресу: "&amp;'ИСХОДНЫЕ ДАННЫЕ'!$C$20</f>
        <v/>
      </c>
      <c r="E4" s="77" t="n"/>
      <c r="F4" s="77" t="n"/>
    </row>
    <row r="5" ht="16" customHeight="1">
      <c r="D5" s="77">
        <f>"Конт. тел.: "&amp;'ИСХОДНЫЕ ДАННЫЕ'!$C$21</f>
        <v/>
      </c>
      <c r="E5" s="77" t="n"/>
      <c r="F5" s="77" t="n"/>
    </row>
    <row r="6" ht="16" customHeight="1">
      <c r="D6" s="77">
        <f>"Эл. почта: "&amp;'ИСХОДНЫЕ ДАННЫЕ'!$C$22</f>
        <v/>
      </c>
      <c r="E6" s="77" t="n"/>
      <c r="F6" s="77" t="n"/>
    </row>
    <row r="7" ht="18" customHeight="1"/>
    <row r="8" ht="54" customHeight="1">
      <c r="B8" s="77">
        <f>"В связи с тем, что на балансе департамента числится кв. № "&amp;'ИСХОДНЫЕ ДАННЫЕ'!$C$12&amp;" по адресу: "&amp;'ИСХОДНЫЕ ДАННЫЕ'!$C$14&amp;", сообщаю Вам "&amp;IF(MAX(0,ROUND(ROUND('ИСХОДНЫЕ ДАННЫЕ'!$C$8*3,2)+'ИСХОДНЫЕ ДАННЫЕ'!$C$33,2))&gt;0,"о необходимости оплатить "&amp;IF(INT(INT(ROUND(MAX(0,ROUND(ROUND('ИСХОДНЫЕ ДАННЫЕ'!$C$8*3,2)+'ИСХОДНЫЕ ДАННЫЕ'!$C$33,2)),2))/1000)&gt;0,INT(INT(ROUND(MAX(0,ROUND(ROUND('ИСХОДНЫЕ ДАННЫЕ'!$C$8*3,2)+'ИСХОДНЫЕ ДАННЫЕ'!$C$33,2)),2))/1000)&amp;" "&amp;TEXT((INT(ROUND(MAX(0,ROUND(ROUND('ИСХОДНЫЕ ДАННЫЕ'!$C$8*3,2)+'ИСХОДНЫЕ ДАННЫЕ'!$C$33,2)),2))-INT(INT(ROUND(MAX(0,ROUND(ROUND('ИСХОДНЫЕ ДАННЫЕ'!$C$8*3,2)+'ИСХОДНЫЕ ДАННЫЕ'!$C$33,2)),2))/1000)*1000),"000"),(INT(ROUND(MAX(0,ROUND(ROUND('ИСХОДНЫЕ ДАННЫЕ'!$C$8*3,2)+'ИСХОДНЫЕ ДАННЫЕ'!$C$33,2)),2))-INT(INT(ROUND(MAX(0,ROUND(ROUND('ИСХОДНЫЕ ДАННЫЕ'!$C$8*3,2)+'ИСХОДНЫЕ ДАННЫЕ'!$C$33,2)),2))/1000)*1000)&amp;"")&amp;","&amp;TEXT((ROUND(ROUND(MAX(0,ROUND(ROUND('ИСХОДНЫЕ ДАННЫЕ'!$C$8*3,2)+'ИСХОДНЫЕ ДАННЫЕ'!$C$33,2)),2)*100,0)-INT(ROUND(MAX(0,ROUND(ROUND('ИСХОДНЫЕ ДАННЫЕ'!$C$8*3,2)+'ИСХОДНЫЕ ДАННЫЕ'!$C$33,2)),2))*100),"00")&amp;" руб., в том числе:","о состоянии расчётов за "&amp;"III квартал "&amp;'ИСХОДНЫЕ ДАННЫЕ'!$C$5&amp;" г."&amp;":")</f>
        <v/>
      </c>
      <c r="C8" s="77" t="n"/>
      <c r="D8" s="77" t="n"/>
      <c r="E8" s="77" t="n"/>
      <c r="F8" s="77" t="n"/>
    </row>
    <row r="9" ht="8" customHeight="1"/>
    <row r="10" ht="38" customHeight="1">
      <c r="B10" s="77">
        <f>"— текущий платёж за период с июля по сентябрь "&amp;'ИСХОДНЫЕ ДАННЫЕ'!$C$5&amp;" года ("&amp;"III квартал "&amp;'ИСХОДНЫЕ ДАННЫЕ'!$C$5&amp;" г."&amp;") в размере "&amp;IF(INT(INT(ROUND(ROUND('ИСХОДНЫЕ ДАННЫЕ'!$C$8*3,2),2))/1000)&gt;0,INT(INT(ROUND(ROUND('ИСХОДНЫЕ ДАННЫЕ'!$C$8*3,2),2))/1000)&amp;" "&amp;TEXT((INT(ROUND(ROUND('ИСХОДНЫЕ ДАННЫЕ'!$C$8*3,2),2))-INT(INT(ROUND(ROUND('ИСХОДНЫЕ ДАННЫЕ'!$C$8*3,2),2))/1000)*1000),"000"),(INT(ROUND(ROUND('ИСХОДНЫЕ ДАННЫЕ'!$C$8*3,2),2))-INT(INT(ROUND(ROUND('ИСХОДНЫЕ ДАННЫЕ'!$C$8*3,2),2))/1000)*1000)&amp;"")&amp;","&amp;TEXT((ROUND(ROUND(ROUND('ИСХОДНЫЕ ДАННЫЕ'!$C$8*3,2),2)*100,0)-INT(ROUND(ROUND('ИСХОДНЫЕ ДАННЫЕ'!$C$8*3,2),2))*100),"00")&amp;" рублей"</f>
        <v/>
      </c>
      <c r="C10" s="77" t="n"/>
      <c r="D10" s="77" t="n"/>
      <c r="E10" s="77" t="n"/>
      <c r="F10" s="77" t="n"/>
    </row>
    <row r="11" ht="18" customHeight="1">
      <c r="B11" s="78">
        <f>"("&amp;UPPER(LEFT(IF(INT(INT(ROUND(ROUND('ИСХОДНЫЕ ДАННЫЕ'!$C$8*3,2),2))/1000)&gt;0,INDEX('ПРОПИСЬ'!$D$2:$D$1001,INT(INT(ROUND(ROUND('ИСХОДНЫЕ ДАННЫЕ'!$C$8*3,2),2))/1000)+1)&amp;" "&amp;INDEX('ПРОПИСЬ'!$E$2:$E$1001,INT(INT(ROUND(ROUND('ИСХОДНЫЕ ДАННЫЕ'!$C$8*3,2),2))/1000)+1)&amp;" ","")&amp;IF(AND((INT(ROUND(ROUND('ИСХОДНЫЕ ДАННЫЕ'!$C$8*3,2),2))-INT(INT(ROUND(ROUND('ИСХОДНЫЕ ДАННЫЕ'!$C$8*3,2),2))/1000)*1000)=0,INT(INT(ROUND(ROUND('ИСХОДНЫЕ ДАННЫЕ'!$C$8*3,2),2))/1000)&gt;0),"",INDEX('ПРОПИСЬ'!$B$2:$B$1001,(INT(ROUND(ROUND('ИСХОДНЫЕ ДАННЫЕ'!$C$8*3,2),2))-INT(INT(ROUND(ROUND('ИСХОДНЫЕ ДАННЫЕ'!$C$8*3,2),2))/1000)*1000)+1)&amp;" ")&amp;INDEX('ПРОПИСЬ'!$C$2:$C$1001,(INT(ROUND(ROUND('ИСХОДНЫЕ ДАННЫЕ'!$C$8*3,2),2))-INT(INT(ROUND(ROUND('ИСХОДНЫЕ ДАННЫЕ'!$C$8*3,2),2))/1000)*1000)+1)&amp;" "&amp;INDEX('ПРОПИСЬ'!$D$2:$D$1001,(ROUND(ROUND(ROUND('ИСХОДНЫЕ ДАННЫЕ'!$C$8*3,2),2)*100,0)-INT(ROUND(ROUND('ИСХОДНЫЕ ДАННЫЕ'!$C$8*3,2),2))*100)+1)&amp;" "&amp;INDEX('ПРОПИСЬ'!$F$2:$F$1001,(ROUND(ROUND(ROUND('ИСХОДНЫЕ ДАННЫЕ'!$C$8*3,2),2)*100,0)-INT(ROUND(ROUND('ИСХОДНЫЕ ДАННЫЕ'!$C$8*3,2),2))*100)+1),1))&amp;MID(IF(INT(INT(ROUND(ROUND('ИСХОДНЫЕ ДАННЫЕ'!$C$8*3,2),2))/1000)&gt;0,INDEX('ПРОПИСЬ'!$D$2:$D$1001,INT(INT(ROUND(ROUND('ИСХОДНЫЕ ДАННЫЕ'!$C$8*3,2),2))/1000)+1)&amp;" "&amp;INDEX('ПРОПИСЬ'!$E$2:$E$1001,INT(INT(ROUND(ROUND('ИСХОДНЫЕ ДАННЫЕ'!$C$8*3,2),2))/1000)+1)&amp;" ","")&amp;IF(AND((INT(ROUND(ROUND('ИСХОДНЫЕ ДАННЫЕ'!$C$8*3,2),2))-INT(INT(ROUND(ROUND('ИСХОДНЫЕ ДАННЫЕ'!$C$8*3,2),2))/1000)*1000)=0,INT(INT(ROUND(ROUND('ИСХОДНЫЕ ДАННЫЕ'!$C$8*3,2),2))/1000)&gt;0),"",INDEX('ПРОПИСЬ'!$B$2:$B$1001,(INT(ROUND(ROUND('ИСХОДНЫЕ ДАННЫЕ'!$C$8*3,2),2))-INT(INT(ROUND(ROUND('ИСХОДНЫЕ ДАННЫЕ'!$C$8*3,2),2))/1000)*1000)+1)&amp;" ")&amp;INDEX('ПРОПИСЬ'!$C$2:$C$1001,(INT(ROUND(ROUND('ИСХОДНЫЕ ДАННЫЕ'!$C$8*3,2),2))-INT(INT(ROUND(ROUND('ИСХОДНЫЕ ДАННЫЕ'!$C$8*3,2),2))/1000)*1000)+1)&amp;" "&amp;INDEX('ПРОПИСЬ'!$D$2:$D$1001,(ROUND(ROUND(ROUND('ИСХОДНЫЕ ДАННЫЕ'!$C$8*3,2),2)*100,0)-INT(ROUND(ROUND('ИСХОДНЫЕ ДАННЫЕ'!$C$8*3,2),2))*100)+1)&amp;" "&amp;INDEX('ПРОПИСЬ'!$F$2:$F$1001,(ROUND(ROUND(ROUND('ИСХОДНЫЕ ДАННЫЕ'!$C$8*3,2),2)*100,0)-INT(ROUND(ROUND('ИСХОДНЫЕ ДАННЫЕ'!$C$8*3,2),2))*100)+1),2,300)&amp;")."</f>
        <v/>
      </c>
      <c r="C11" s="78" t="n"/>
      <c r="D11" s="78" t="n"/>
      <c r="E11" s="78" t="n"/>
      <c r="F11" s="78" t="n"/>
    </row>
    <row r="12" ht="6" customHeight="1"/>
    <row r="13" ht="32" customHeight="1">
      <c r="B13" s="77">
        <f>IF('ИСХОДНЫЕ ДАННЫЕ'!$C$33=0,"— задолженности за предыдущие периоды нет.",IF('ИСХОДНЫЕ ДАННЫЕ'!$C$33&lt;0,"— на лицевом счёте числится переплата "&amp;IF(INT(INT(ROUND(-'ИСХОДНЫЕ ДАННЫЕ'!$C$33,2))/1000)&gt;0,INT(INT(ROUND(-'ИСХОДНЫЕ ДАННЫЕ'!$C$33,2))/1000)&amp;" "&amp;TEXT((INT(ROUND(-'ИСХОДНЫЕ ДАННЫЕ'!$C$33,2))-INT(INT(ROUND(-'ИСХОДНЫЕ ДАННЫЕ'!$C$33,2))/1000)*1000),"000"),(INT(ROUND(-'ИСХОДНЫЕ ДАННЫЕ'!$C$33,2))-INT(INT(ROUND(-'ИСХОДНЫЕ ДАННЫЕ'!$C$33,2))/1000)*1000)&amp;"")&amp;","&amp;TEXT((ROUND(ROUND(-'ИСХОДНЫЕ ДАННЫЕ'!$C$33,2)*100,0)-INT(ROUND(-'ИСХОДНЫЕ ДАННЫЕ'!$C$33,2))*100),"00")&amp;" рублей","— задолженность "&amp;IF('ИСХОДНЫЕ ДАННЫЕ'!$D$33="","за предыдущие периоды",'ИСХОДНЫЕ ДАННЫЕ'!$D$33)&amp;" в размере "&amp;IF(INT(INT(ROUND('ИСХОДНЫЕ ДАННЫЕ'!$C$33,2))/1000)&gt;0,INT(INT(ROUND('ИСХОДНЫЕ ДАННЫЕ'!$C$33,2))/1000)&amp;" "&amp;TEXT((INT(ROUND('ИСХОДНЫЕ ДАННЫЕ'!$C$33,2))-INT(INT(ROUND('ИСХОДНЫЕ ДАННЫЕ'!$C$33,2))/1000)*1000),"000"),(INT(ROUND('ИСХОДНЫЕ ДАННЫЕ'!$C$33,2))-INT(INT(ROUND('ИСХОДНЫЕ ДАННЫЕ'!$C$33,2))/1000)*1000)&amp;"")&amp;","&amp;TEXT((ROUND(ROUND('ИСХОДНЫЕ ДАННЫЕ'!$C$33,2)*100,0)-INT(ROUND('ИСХОДНЫЕ ДАННЫЕ'!$C$33,2))*100),"00")&amp;" рублей"))</f>
        <v/>
      </c>
      <c r="C13" s="77" t="n"/>
      <c r="D13" s="77" t="n"/>
      <c r="E13" s="77" t="n"/>
      <c r="F13" s="77" t="n"/>
    </row>
    <row r="14" ht="18" customHeight="1">
      <c r="B14" s="78">
        <f>IF('ИСХОДНЫЕ ДАННЫЕ'!$C$33=0,"","("&amp;UPPER(LEFT(IF(INT(INT(ROUND(ABS('ИСХОДНЫЕ ДАННЫЕ'!$C$33),2))/1000)&gt;0,INDEX('ПРОПИСЬ'!$D$2:$D$1001,INT(INT(ROUND(ABS('ИСХОДНЫЕ ДАННЫЕ'!$C$33),2))/1000)+1)&amp;" "&amp;INDEX('ПРОПИСЬ'!$E$2:$E$1001,INT(INT(ROUND(ABS('ИСХОДНЫЕ ДАННЫЕ'!$C$33),2))/1000)+1)&amp;" ","")&amp;IF(AND((INT(ROUND(ABS('ИСХОДНЫЕ ДАННЫЕ'!$C$33),2))-INT(INT(ROUND(ABS('ИСХОДНЫЕ ДАННЫЕ'!$C$33),2))/1000)*1000)=0,INT(INT(ROUND(ABS('ИСХОДНЫЕ ДАННЫЕ'!$C$33),2))/1000)&gt;0),"",INDEX('ПРОПИСЬ'!$B$2:$B$1001,(INT(ROUND(ABS('ИСХОДНЫЕ ДАННЫЕ'!$C$33),2))-INT(INT(ROUND(ABS('ИСХОДНЫЕ ДАННЫЕ'!$C$33),2))/1000)*1000)+1)&amp;" ")&amp;INDEX('ПРОПИСЬ'!$C$2:$C$1001,(INT(ROUND(ABS('ИСХОДНЫЕ ДАННЫЕ'!$C$33),2))-INT(INT(ROUND(ABS('ИСХОДНЫЕ ДАННЫЕ'!$C$33),2))/1000)*1000)+1)&amp;" "&amp;INDEX('ПРОПИСЬ'!$D$2:$D$1001,(ROUND(ROUND(ABS('ИСХОДНЫЕ ДАННЫЕ'!$C$33),2)*100,0)-INT(ROUND(ABS('ИСХОДНЫЕ ДАННЫЕ'!$C$33),2))*100)+1)&amp;" "&amp;INDEX('ПРОПИСЬ'!$F$2:$F$1001,(ROUND(ROUND(ABS('ИСХОДНЫЕ ДАННЫЕ'!$C$33),2)*100,0)-INT(ROUND(ABS('ИСХОДНЫЕ ДАННЫЕ'!$C$33),2))*100)+1),1))&amp;MID(IF(INT(INT(ROUND(ABS('ИСХОДНЫЕ ДАННЫЕ'!$C$33),2))/1000)&gt;0,INDEX('ПРОПИСЬ'!$D$2:$D$1001,INT(INT(ROUND(ABS('ИСХОДНЫЕ ДАННЫЕ'!$C$33),2))/1000)+1)&amp;" "&amp;INDEX('ПРОПИСЬ'!$E$2:$E$1001,INT(INT(ROUND(ABS('ИСХОДНЫЕ ДАННЫЕ'!$C$33),2))/1000)+1)&amp;" ","")&amp;IF(AND((INT(ROUND(ABS('ИСХОДНЫЕ ДАННЫЕ'!$C$33),2))-INT(INT(ROUND(ABS('ИСХОДНЫЕ ДАННЫЕ'!$C$33),2))/1000)*1000)=0,INT(INT(ROUND(ABS('ИСХОДНЫЕ ДАННЫЕ'!$C$33),2))/1000)&gt;0),"",INDEX('ПРОПИСЬ'!$B$2:$B$1001,(INT(ROUND(ABS('ИСХОДНЫЕ ДАННЫЕ'!$C$33),2))-INT(INT(ROUND(ABS('ИСХОДНЫЕ ДАННЫЕ'!$C$33),2))/1000)*1000)+1)&amp;" ")&amp;INDEX('ПРОПИСЬ'!$C$2:$C$1001,(INT(ROUND(ABS('ИСХОДНЫЕ ДАННЫЕ'!$C$33),2))-INT(INT(ROUND(ABS('ИСХОДНЫЕ ДАННЫЕ'!$C$33),2))/1000)*1000)+1)&amp;" "&amp;INDEX('ПРОПИСЬ'!$D$2:$D$1001,(ROUND(ROUND(ABS('ИСХОДНЫЕ ДАННЫЕ'!$C$33),2)*100,0)-INT(ROUND(ABS('ИСХОДНЫЕ ДАННЫЕ'!$C$33),2))*100)+1)&amp;" "&amp;INDEX('ПРОПИСЬ'!$F$2:$F$1001,(ROUND(ROUND(ABS('ИСХОДНЫЕ ДАННЫЕ'!$C$33),2)*100,0)-INT(ROUND(ABS('ИСХОДНЫЕ ДАННЫЕ'!$C$33),2))*100)+1),2,300)&amp;").")</f>
        <v/>
      </c>
      <c r="C14" s="78" t="n"/>
      <c r="D14" s="78" t="n"/>
      <c r="E14" s="78" t="n"/>
      <c r="F14" s="78" t="n"/>
    </row>
    <row r="15" ht="32" customHeight="1">
      <c r="B15" s="77">
        <f>IF(ROUND(ROUND('ИСХОДНЫЕ ДАННЫЕ'!$C$8*3,2)+'ИСХОДНЫЕ ДАННЫЕ'!$C$33,2)&gt;=0,"","С учётом переплаты оплата за "&amp;"III квартал "&amp;'ИСХОДНЫЕ ДАННЫЕ'!$C$5&amp;" г."&amp;" не требуется; остаток переплаты — "&amp;IF(INT(INT(ROUND(-ROUND(ROUND('ИСХОДНЫЕ ДАННЫЕ'!$C$8*3,2)+'ИСХОДНЫЕ ДАННЫЕ'!$C$33,2),2))/1000)&gt;0,INT(INT(ROUND(-ROUND(ROUND('ИСХОДНЫЕ ДАННЫЕ'!$C$8*3,2)+'ИСХОДНЫЕ ДАННЫЕ'!$C$33,2),2))/1000)&amp;" "&amp;TEXT((INT(ROUND(-ROUND(ROUND('ИСХОДНЫЕ ДАННЫЕ'!$C$8*3,2)+'ИСХОДНЫЕ ДАННЫЕ'!$C$33,2),2))-INT(INT(ROUND(-ROUND(ROUND('ИСХОДНЫЕ ДАННЫЕ'!$C$8*3,2)+'ИСХОДНЫЕ ДАННЫЕ'!$C$33,2),2))/1000)*1000),"000"),(INT(ROUND(-ROUND(ROUND('ИСХОДНЫЕ ДАННЫЕ'!$C$8*3,2)+'ИСХОДНЫЕ ДАННЫЕ'!$C$33,2),2))-INT(INT(ROUND(-ROUND(ROUND('ИСХОДНЫЕ ДАННЫЕ'!$C$8*3,2)+'ИСХОДНЫЕ ДАННЫЕ'!$C$33,2),2))/1000)*1000)&amp;"")&amp;","&amp;TEXT((ROUND(ROUND(-ROUND(ROUND('ИСХОДНЫЕ ДАННЫЕ'!$C$8*3,2)+'ИСХОДНЫЕ ДАННЫЕ'!$C$33,2),2)*100,0)-INT(ROUND(-ROUND(ROUND('ИСХОДНЫЕ ДАННЫЕ'!$C$8*3,2)+'ИСХОДНЫЕ ДАННЫЕ'!$C$33,2),2))*100),"00")&amp;" руб.")</f>
        <v/>
      </c>
      <c r="C15" s="77" t="n"/>
      <c r="D15" s="77" t="n"/>
      <c r="E15" s="77" t="n"/>
      <c r="F15" s="77" t="n"/>
    </row>
    <row r="16" ht="90" customHeight="1">
      <c r="B16" s="77">
        <f>"Для сведения и сверки оплат направляю акт взаимных расчётов по взносам на капитальный ремонт по квартире № "&amp;'ИСХОДНЫЕ ДАННЫЕ'!$C$12&amp;" с учётом всех поступивших платежей на специальный счёт МКД "&amp;'ИСХОДНЫЕ ДАННЫЕ'!$C$14&amp;" (р/счёт "&amp;'ИСХОДНЫЕ ДАННЫЕ'!$C$45&amp;") по состоянию расчётов на "&amp;TEXT(DAY('ИСХОДНЫЕ ДАННЫЕ'!$E$33),"00")&amp;"."&amp;TEXT(MONTH('ИСХОДНЫЕ ДАННЫЕ'!$E$33),"00")&amp;"."&amp;YEAR('ИСХОДНЫЕ ДАННЫЕ'!$E$33)&amp;" и с учётом начислений по "&amp;"сентябрь "&amp;'ИСХОДНЫЕ ДАННЫЕ'!$C$5&amp;" года включительно."</f>
        <v/>
      </c>
      <c r="C16" s="77" t="n"/>
      <c r="D16" s="77" t="n"/>
      <c r="E16" s="77" t="n"/>
      <c r="F16" s="77" t="n"/>
    </row>
    <row r="17" ht="10" customHeight="1"/>
    <row r="18" ht="54" customHeight="1">
      <c r="B18" s="77">
        <f>"В случае возникновения дополнительных вопросов прошу связаться со мной по электронной почте "&amp;'ИСХОДНЫЕ ДАННЫЕ'!$C$22&amp;" или по телефону "&amp;'ИСХОДНЫЕ ДАННЫЕ'!$C$21&amp;"."</f>
        <v/>
      </c>
      <c r="C18" s="77" t="n"/>
      <c r="D18" s="77" t="n"/>
      <c r="E18" s="77" t="n"/>
      <c r="F18" s="77" t="n"/>
    </row>
    <row r="19" ht="14" customHeight="1"/>
    <row r="20" ht="20" customHeight="1">
      <c r="B20" s="76" t="inlineStr">
        <is>
          <t>ПРИЛОЖЕНИЯ:</t>
        </is>
      </c>
      <c r="C20" s="76" t="n"/>
      <c r="D20" s="76" t="n"/>
      <c r="E20" s="76" t="n"/>
      <c r="F20" s="76" t="n"/>
    </row>
    <row r="21" ht="18" customHeight="1">
      <c r="B21" s="77">
        <f>"1) Акт взаимных расчётов по состоянию на "&amp;TEXT(DAY('ИСХОДНЫЕ ДАННЫЕ'!$E$33),"00")&amp;"."&amp;TEXT(MONTH('ИСХОДНЫЕ ДАННЫЕ'!$E$33),"00")&amp;"."&amp;YEAR('ИСХОДНЫЕ ДАННЫЕ'!$E$33)&amp;" — один экземпляр на 1 л."</f>
        <v/>
      </c>
      <c r="C21" s="77" t="n"/>
      <c r="D21" s="77" t="n"/>
      <c r="E21" s="77" t="n"/>
      <c r="F21" s="77" t="n"/>
    </row>
    <row r="22" ht="18" customHeight="1">
      <c r="B22" s="77">
        <f>"2) Квитанция для оплаты за "&amp;"III квартал "&amp;'ИСХОДНЫЕ ДАННЫЕ'!$C$5&amp;" г."&amp;" — один экземпляр на 1 л."</f>
        <v/>
      </c>
      <c r="C22" s="77" t="n"/>
      <c r="D22" s="77" t="n"/>
      <c r="E22" s="77" t="n"/>
      <c r="F22" s="77" t="n"/>
    </row>
    <row r="23" ht="26" customHeight="1"/>
    <row r="24" ht="20" customHeight="1">
      <c r="B24" s="77">
        <f>"«______» ______________ "&amp;'ИСХОДНЫЕ ДАННЫЕ'!$C$5&amp;" г."</f>
        <v/>
      </c>
      <c r="C24" s="77" t="n"/>
    </row>
    <row r="25" ht="16" customHeight="1"/>
    <row r="26" ht="16" customHeight="1">
      <c r="B26" s="77" t="inlineStr">
        <is>
          <t>Председатель</t>
        </is>
      </c>
      <c r="C26" s="77" t="n"/>
    </row>
    <row r="27" ht="16" customHeight="1">
      <c r="B27" s="77">
        <f>"МКД "&amp;'ИСХОДНЫЕ ДАННЫЕ'!$C$15</f>
        <v/>
      </c>
      <c r="C27" s="77" t="n"/>
      <c r="D27" s="79">
        <f>"___________________  /"&amp;'ИСХОДНЫЕ ДАННЫЕ'!$C$19&amp;"/"</f>
        <v/>
      </c>
      <c r="E27" s="79" t="n"/>
      <c r="F27" s="79" t="n"/>
    </row>
  </sheetData>
  <mergeCells count="21">
    <mergeCell ref="D2:F2"/>
    <mergeCell ref="D27:F27"/>
    <mergeCell ref="B16:F16"/>
    <mergeCell ref="B22:F22"/>
    <mergeCell ref="B27:C27"/>
    <mergeCell ref="B18:F18"/>
    <mergeCell ref="B21:F21"/>
    <mergeCell ref="B11:F11"/>
    <mergeCell ref="D4:F4"/>
    <mergeCell ref="D3:F3"/>
    <mergeCell ref="B14:F14"/>
    <mergeCell ref="B8:F8"/>
    <mergeCell ref="B13:F13"/>
    <mergeCell ref="D5:F5"/>
    <mergeCell ref="B10:F10"/>
    <mergeCell ref="D1:F1"/>
    <mergeCell ref="B24:C24"/>
    <mergeCell ref="B20:F20"/>
    <mergeCell ref="B15:F15"/>
    <mergeCell ref="B26:C26"/>
    <mergeCell ref="D6:F6"/>
  </mergeCells>
  <pageMargins left="0.59" right="0.39" top="0.51" bottom="0.51" header="0.5" footer="0.5"/>
  <pageSetup orientation="portrait" paperSize="9" fitToHeight="1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B1:F27"/>
  <sheetViews>
    <sheetView showGridLines="0" workbookViewId="0">
      <selection activeCell="A1" sqref="A1"/>
    </sheetView>
  </sheetViews>
  <sheetFormatPr baseColWidth="8" defaultRowHeight="15"/>
  <cols>
    <col width="0.8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0.8" customWidth="1" min="7" max="7"/>
  </cols>
  <sheetData>
    <row r="1" ht="32" customHeight="1">
      <c r="D1" s="76">
        <f>"В "&amp;'ИСХОДНЫЕ ДАННЫЕ'!$C$25</f>
        <v/>
      </c>
      <c r="E1" s="76" t="n"/>
      <c r="F1" s="76" t="n"/>
    </row>
    <row r="2" ht="16" customHeight="1">
      <c r="D2" s="76">
        <f>IF('ИСХОДНЫЕ ДАННЫЕ'!$C$27="","",'ИСХОДНЫЕ ДАННЫЕ'!$C$26&amp;" "&amp;'ИСХОДНЫЕ ДАННЫЕ'!$C$27)</f>
        <v/>
      </c>
      <c r="E2" s="76" t="n"/>
      <c r="F2" s="76" t="n"/>
    </row>
    <row r="3" ht="32" customHeight="1">
      <c r="D3" s="77">
        <f>"от Председателя МКД "&amp;'ИСХОДНЫЕ ДАННЫЕ'!$C$15&amp;", "&amp;'ИСХОДНЫЕ ДАННЫЕ'!$C$18</f>
        <v/>
      </c>
      <c r="E3" s="77" t="n"/>
      <c r="F3" s="77" t="n"/>
    </row>
    <row r="4" ht="32" customHeight="1">
      <c r="D4" s="77">
        <f>"проживающей по адресу: "&amp;'ИСХОДНЫЕ ДАННЫЕ'!$C$20</f>
        <v/>
      </c>
      <c r="E4" s="77" t="n"/>
      <c r="F4" s="77" t="n"/>
    </row>
    <row r="5" ht="16" customHeight="1">
      <c r="D5" s="77">
        <f>"Конт. тел.: "&amp;'ИСХОДНЫЕ ДАННЫЕ'!$C$21</f>
        <v/>
      </c>
      <c r="E5" s="77" t="n"/>
      <c r="F5" s="77" t="n"/>
    </row>
    <row r="6" ht="16" customHeight="1">
      <c r="D6" s="77">
        <f>"Эл. почта: "&amp;'ИСХОДНЫЕ ДАННЫЕ'!$C$22</f>
        <v/>
      </c>
      <c r="E6" s="77" t="n"/>
      <c r="F6" s="77" t="n"/>
    </row>
    <row r="7" ht="18" customHeight="1"/>
    <row r="8" ht="54" customHeight="1">
      <c r="B8" s="77">
        <f>"В связи с тем, что на балансе департамента числится кв. № "&amp;'ИСХОДНЫЕ ДАННЫЕ'!$C$12&amp;" по адресу: "&amp;'ИСХОДНЫЕ ДАННЫЕ'!$C$14&amp;", сообщаю Вам "&amp;IF(MAX(0,ROUND(ROUND('ИСХОДНЫЕ ДАННЫЕ'!$C$8*3,2)+'ИСХОДНЫЕ ДАННЫЕ'!$C$34,2))&gt;0,"о необходимости оплатить "&amp;IF(INT(INT(ROUND(MAX(0,ROUND(ROUND('ИСХОДНЫЕ ДАННЫЕ'!$C$8*3,2)+'ИСХОДНЫЕ ДАННЫЕ'!$C$34,2)),2))/1000)&gt;0,INT(INT(ROUND(MAX(0,ROUND(ROUND('ИСХОДНЫЕ ДАННЫЕ'!$C$8*3,2)+'ИСХОДНЫЕ ДАННЫЕ'!$C$34,2)),2))/1000)&amp;" "&amp;TEXT((INT(ROUND(MAX(0,ROUND(ROUND('ИСХОДНЫЕ ДАННЫЕ'!$C$8*3,2)+'ИСХОДНЫЕ ДАННЫЕ'!$C$34,2)),2))-INT(INT(ROUND(MAX(0,ROUND(ROUND('ИСХОДНЫЕ ДАННЫЕ'!$C$8*3,2)+'ИСХОДНЫЕ ДАННЫЕ'!$C$34,2)),2))/1000)*1000),"000"),(INT(ROUND(MAX(0,ROUND(ROUND('ИСХОДНЫЕ ДАННЫЕ'!$C$8*3,2)+'ИСХОДНЫЕ ДАННЫЕ'!$C$34,2)),2))-INT(INT(ROUND(MAX(0,ROUND(ROUND('ИСХОДНЫЕ ДАННЫЕ'!$C$8*3,2)+'ИСХОДНЫЕ ДАННЫЕ'!$C$34,2)),2))/1000)*1000)&amp;"")&amp;","&amp;TEXT((ROUND(ROUND(MAX(0,ROUND(ROUND('ИСХОДНЫЕ ДАННЫЕ'!$C$8*3,2)+'ИСХОДНЫЕ ДАННЫЕ'!$C$34,2)),2)*100,0)-INT(ROUND(MAX(0,ROUND(ROUND('ИСХОДНЫЕ ДАННЫЕ'!$C$8*3,2)+'ИСХОДНЫЕ ДАННЫЕ'!$C$34,2)),2))*100),"00")&amp;" руб., в том числе:","о состоянии расчётов за "&amp;"IV квартал "&amp;'ИСХОДНЫЕ ДАННЫЕ'!$C$5&amp;" г."&amp;":")</f>
        <v/>
      </c>
      <c r="C8" s="77" t="n"/>
      <c r="D8" s="77" t="n"/>
      <c r="E8" s="77" t="n"/>
      <c r="F8" s="77" t="n"/>
    </row>
    <row r="9" ht="8" customHeight="1"/>
    <row r="10" ht="38" customHeight="1">
      <c r="B10" s="77">
        <f>"— текущий платёж за период с октября по декабрь "&amp;'ИСХОДНЫЕ ДАННЫЕ'!$C$5&amp;" года ("&amp;"IV квартал "&amp;'ИСХОДНЫЕ ДАННЫЕ'!$C$5&amp;" г."&amp;") в размере "&amp;IF(INT(INT(ROUND(ROUND('ИСХОДНЫЕ ДАННЫЕ'!$C$8*3,2),2))/1000)&gt;0,INT(INT(ROUND(ROUND('ИСХОДНЫЕ ДАННЫЕ'!$C$8*3,2),2))/1000)&amp;" "&amp;TEXT((INT(ROUND(ROUND('ИСХОДНЫЕ ДАННЫЕ'!$C$8*3,2),2))-INT(INT(ROUND(ROUND('ИСХОДНЫЕ ДАННЫЕ'!$C$8*3,2),2))/1000)*1000),"000"),(INT(ROUND(ROUND('ИСХОДНЫЕ ДАННЫЕ'!$C$8*3,2),2))-INT(INT(ROUND(ROUND('ИСХОДНЫЕ ДАННЫЕ'!$C$8*3,2),2))/1000)*1000)&amp;"")&amp;","&amp;TEXT((ROUND(ROUND(ROUND('ИСХОДНЫЕ ДАННЫЕ'!$C$8*3,2),2)*100,0)-INT(ROUND(ROUND('ИСХОДНЫЕ ДАННЫЕ'!$C$8*3,2),2))*100),"00")&amp;" рублей"</f>
        <v/>
      </c>
      <c r="C10" s="77" t="n"/>
      <c r="D10" s="77" t="n"/>
      <c r="E10" s="77" t="n"/>
      <c r="F10" s="77" t="n"/>
    </row>
    <row r="11" ht="18" customHeight="1">
      <c r="B11" s="78">
        <f>"("&amp;UPPER(LEFT(IF(INT(INT(ROUND(ROUND('ИСХОДНЫЕ ДАННЫЕ'!$C$8*3,2),2))/1000)&gt;0,INDEX('ПРОПИСЬ'!$D$2:$D$1001,INT(INT(ROUND(ROUND('ИСХОДНЫЕ ДАННЫЕ'!$C$8*3,2),2))/1000)+1)&amp;" "&amp;INDEX('ПРОПИСЬ'!$E$2:$E$1001,INT(INT(ROUND(ROUND('ИСХОДНЫЕ ДАННЫЕ'!$C$8*3,2),2))/1000)+1)&amp;" ","")&amp;IF(AND((INT(ROUND(ROUND('ИСХОДНЫЕ ДАННЫЕ'!$C$8*3,2),2))-INT(INT(ROUND(ROUND('ИСХОДНЫЕ ДАННЫЕ'!$C$8*3,2),2))/1000)*1000)=0,INT(INT(ROUND(ROUND('ИСХОДНЫЕ ДАННЫЕ'!$C$8*3,2),2))/1000)&gt;0),"",INDEX('ПРОПИСЬ'!$B$2:$B$1001,(INT(ROUND(ROUND('ИСХОДНЫЕ ДАННЫЕ'!$C$8*3,2),2))-INT(INT(ROUND(ROUND('ИСХОДНЫЕ ДАННЫЕ'!$C$8*3,2),2))/1000)*1000)+1)&amp;" ")&amp;INDEX('ПРОПИСЬ'!$C$2:$C$1001,(INT(ROUND(ROUND('ИСХОДНЫЕ ДАННЫЕ'!$C$8*3,2),2))-INT(INT(ROUND(ROUND('ИСХОДНЫЕ ДАННЫЕ'!$C$8*3,2),2))/1000)*1000)+1)&amp;" "&amp;INDEX('ПРОПИСЬ'!$D$2:$D$1001,(ROUND(ROUND(ROUND('ИСХОДНЫЕ ДАННЫЕ'!$C$8*3,2),2)*100,0)-INT(ROUND(ROUND('ИСХОДНЫЕ ДАННЫЕ'!$C$8*3,2),2))*100)+1)&amp;" "&amp;INDEX('ПРОПИСЬ'!$F$2:$F$1001,(ROUND(ROUND(ROUND('ИСХОДНЫЕ ДАННЫЕ'!$C$8*3,2),2)*100,0)-INT(ROUND(ROUND('ИСХОДНЫЕ ДАННЫЕ'!$C$8*3,2),2))*100)+1),1))&amp;MID(IF(INT(INT(ROUND(ROUND('ИСХОДНЫЕ ДАННЫЕ'!$C$8*3,2),2))/1000)&gt;0,INDEX('ПРОПИСЬ'!$D$2:$D$1001,INT(INT(ROUND(ROUND('ИСХОДНЫЕ ДАННЫЕ'!$C$8*3,2),2))/1000)+1)&amp;" "&amp;INDEX('ПРОПИСЬ'!$E$2:$E$1001,INT(INT(ROUND(ROUND('ИСХОДНЫЕ ДАННЫЕ'!$C$8*3,2),2))/1000)+1)&amp;" ","")&amp;IF(AND((INT(ROUND(ROUND('ИСХОДНЫЕ ДАННЫЕ'!$C$8*3,2),2))-INT(INT(ROUND(ROUND('ИСХОДНЫЕ ДАННЫЕ'!$C$8*3,2),2))/1000)*1000)=0,INT(INT(ROUND(ROUND('ИСХОДНЫЕ ДАННЫЕ'!$C$8*3,2),2))/1000)&gt;0),"",INDEX('ПРОПИСЬ'!$B$2:$B$1001,(INT(ROUND(ROUND('ИСХОДНЫЕ ДАННЫЕ'!$C$8*3,2),2))-INT(INT(ROUND(ROUND('ИСХОДНЫЕ ДАННЫЕ'!$C$8*3,2),2))/1000)*1000)+1)&amp;" ")&amp;INDEX('ПРОПИСЬ'!$C$2:$C$1001,(INT(ROUND(ROUND('ИСХОДНЫЕ ДАННЫЕ'!$C$8*3,2),2))-INT(INT(ROUND(ROUND('ИСХОДНЫЕ ДАННЫЕ'!$C$8*3,2),2))/1000)*1000)+1)&amp;" "&amp;INDEX('ПРОПИСЬ'!$D$2:$D$1001,(ROUND(ROUND(ROUND('ИСХОДНЫЕ ДАННЫЕ'!$C$8*3,2),2)*100,0)-INT(ROUND(ROUND('ИСХОДНЫЕ ДАННЫЕ'!$C$8*3,2),2))*100)+1)&amp;" "&amp;INDEX('ПРОПИСЬ'!$F$2:$F$1001,(ROUND(ROUND(ROUND('ИСХОДНЫЕ ДАННЫЕ'!$C$8*3,2),2)*100,0)-INT(ROUND(ROUND('ИСХОДНЫЕ ДАННЫЕ'!$C$8*3,2),2))*100)+1),2,300)&amp;")."</f>
        <v/>
      </c>
      <c r="C11" s="78" t="n"/>
      <c r="D11" s="78" t="n"/>
      <c r="E11" s="78" t="n"/>
      <c r="F11" s="78" t="n"/>
    </row>
    <row r="12" ht="6" customHeight="1"/>
    <row r="13" ht="32" customHeight="1">
      <c r="B13" s="77">
        <f>IF('ИСХОДНЫЕ ДАННЫЕ'!$C$34=0,"— задолженности за предыдущие периоды нет.",IF('ИСХОДНЫЕ ДАННЫЕ'!$C$34&lt;0,"— на лицевом счёте числится переплата "&amp;IF(INT(INT(ROUND(-'ИСХОДНЫЕ ДАННЫЕ'!$C$34,2))/1000)&gt;0,INT(INT(ROUND(-'ИСХОДНЫЕ ДАННЫЕ'!$C$34,2))/1000)&amp;" "&amp;TEXT((INT(ROUND(-'ИСХОДНЫЕ ДАННЫЕ'!$C$34,2))-INT(INT(ROUND(-'ИСХОДНЫЕ ДАННЫЕ'!$C$34,2))/1000)*1000),"000"),(INT(ROUND(-'ИСХОДНЫЕ ДАННЫЕ'!$C$34,2))-INT(INT(ROUND(-'ИСХОДНЫЕ ДАННЫЕ'!$C$34,2))/1000)*1000)&amp;"")&amp;","&amp;TEXT((ROUND(ROUND(-'ИСХОДНЫЕ ДАННЫЕ'!$C$34,2)*100,0)-INT(ROUND(-'ИСХОДНЫЕ ДАННЫЕ'!$C$34,2))*100),"00")&amp;" рублей","— задолженность "&amp;IF('ИСХОДНЫЕ ДАННЫЕ'!$D$34="","за предыдущие периоды",'ИСХОДНЫЕ ДАННЫЕ'!$D$34)&amp;" в размере "&amp;IF(INT(INT(ROUND('ИСХОДНЫЕ ДАННЫЕ'!$C$34,2))/1000)&gt;0,INT(INT(ROUND('ИСХОДНЫЕ ДАННЫЕ'!$C$34,2))/1000)&amp;" "&amp;TEXT((INT(ROUND('ИСХОДНЫЕ ДАННЫЕ'!$C$34,2))-INT(INT(ROUND('ИСХОДНЫЕ ДАННЫЕ'!$C$34,2))/1000)*1000),"000"),(INT(ROUND('ИСХОДНЫЕ ДАННЫЕ'!$C$34,2))-INT(INT(ROUND('ИСХОДНЫЕ ДАННЫЕ'!$C$34,2))/1000)*1000)&amp;"")&amp;","&amp;TEXT((ROUND(ROUND('ИСХОДНЫЕ ДАННЫЕ'!$C$34,2)*100,0)-INT(ROUND('ИСХОДНЫЕ ДАННЫЕ'!$C$34,2))*100),"00")&amp;" рублей"))</f>
        <v/>
      </c>
      <c r="C13" s="77" t="n"/>
      <c r="D13" s="77" t="n"/>
      <c r="E13" s="77" t="n"/>
      <c r="F13" s="77" t="n"/>
    </row>
    <row r="14" ht="18" customHeight="1">
      <c r="B14" s="78">
        <f>IF('ИСХОДНЫЕ ДАННЫЕ'!$C$34=0,"","("&amp;UPPER(LEFT(IF(INT(INT(ROUND(ABS('ИСХОДНЫЕ ДАННЫЕ'!$C$34),2))/1000)&gt;0,INDEX('ПРОПИСЬ'!$D$2:$D$1001,INT(INT(ROUND(ABS('ИСХОДНЫЕ ДАННЫЕ'!$C$34),2))/1000)+1)&amp;" "&amp;INDEX('ПРОПИСЬ'!$E$2:$E$1001,INT(INT(ROUND(ABS('ИСХОДНЫЕ ДАННЫЕ'!$C$34),2))/1000)+1)&amp;" ","")&amp;IF(AND((INT(ROUND(ABS('ИСХОДНЫЕ ДАННЫЕ'!$C$34),2))-INT(INT(ROUND(ABS('ИСХОДНЫЕ ДАННЫЕ'!$C$34),2))/1000)*1000)=0,INT(INT(ROUND(ABS('ИСХОДНЫЕ ДАННЫЕ'!$C$34),2))/1000)&gt;0),"",INDEX('ПРОПИСЬ'!$B$2:$B$1001,(INT(ROUND(ABS('ИСХОДНЫЕ ДАННЫЕ'!$C$34),2))-INT(INT(ROUND(ABS('ИСХОДНЫЕ ДАННЫЕ'!$C$34),2))/1000)*1000)+1)&amp;" ")&amp;INDEX('ПРОПИСЬ'!$C$2:$C$1001,(INT(ROUND(ABS('ИСХОДНЫЕ ДАННЫЕ'!$C$34),2))-INT(INT(ROUND(ABS('ИСХОДНЫЕ ДАННЫЕ'!$C$34),2))/1000)*1000)+1)&amp;" "&amp;INDEX('ПРОПИСЬ'!$D$2:$D$1001,(ROUND(ROUND(ABS('ИСХОДНЫЕ ДАННЫЕ'!$C$34),2)*100,0)-INT(ROUND(ABS('ИСХОДНЫЕ ДАННЫЕ'!$C$34),2))*100)+1)&amp;" "&amp;INDEX('ПРОПИСЬ'!$F$2:$F$1001,(ROUND(ROUND(ABS('ИСХОДНЫЕ ДАННЫЕ'!$C$34),2)*100,0)-INT(ROUND(ABS('ИСХОДНЫЕ ДАННЫЕ'!$C$34),2))*100)+1),1))&amp;MID(IF(INT(INT(ROUND(ABS('ИСХОДНЫЕ ДАННЫЕ'!$C$34),2))/1000)&gt;0,INDEX('ПРОПИСЬ'!$D$2:$D$1001,INT(INT(ROUND(ABS('ИСХОДНЫЕ ДАННЫЕ'!$C$34),2))/1000)+1)&amp;" "&amp;INDEX('ПРОПИСЬ'!$E$2:$E$1001,INT(INT(ROUND(ABS('ИСХОДНЫЕ ДАННЫЕ'!$C$34),2))/1000)+1)&amp;" ","")&amp;IF(AND((INT(ROUND(ABS('ИСХОДНЫЕ ДАННЫЕ'!$C$34),2))-INT(INT(ROUND(ABS('ИСХОДНЫЕ ДАННЫЕ'!$C$34),2))/1000)*1000)=0,INT(INT(ROUND(ABS('ИСХОДНЫЕ ДАННЫЕ'!$C$34),2))/1000)&gt;0),"",INDEX('ПРОПИСЬ'!$B$2:$B$1001,(INT(ROUND(ABS('ИСХОДНЫЕ ДАННЫЕ'!$C$34),2))-INT(INT(ROUND(ABS('ИСХОДНЫЕ ДАННЫЕ'!$C$34),2))/1000)*1000)+1)&amp;" ")&amp;INDEX('ПРОПИСЬ'!$C$2:$C$1001,(INT(ROUND(ABS('ИСХОДНЫЕ ДАННЫЕ'!$C$34),2))-INT(INT(ROUND(ABS('ИСХОДНЫЕ ДАННЫЕ'!$C$34),2))/1000)*1000)+1)&amp;" "&amp;INDEX('ПРОПИСЬ'!$D$2:$D$1001,(ROUND(ROUND(ABS('ИСХОДНЫЕ ДАННЫЕ'!$C$34),2)*100,0)-INT(ROUND(ABS('ИСХОДНЫЕ ДАННЫЕ'!$C$34),2))*100)+1)&amp;" "&amp;INDEX('ПРОПИСЬ'!$F$2:$F$1001,(ROUND(ROUND(ABS('ИСХОДНЫЕ ДАННЫЕ'!$C$34),2)*100,0)-INT(ROUND(ABS('ИСХОДНЫЕ ДАННЫЕ'!$C$34),2))*100)+1),2,300)&amp;").")</f>
        <v/>
      </c>
      <c r="C14" s="78" t="n"/>
      <c r="D14" s="78" t="n"/>
      <c r="E14" s="78" t="n"/>
      <c r="F14" s="78" t="n"/>
    </row>
    <row r="15" ht="32" customHeight="1">
      <c r="B15" s="77">
        <f>IF(ROUND(ROUND('ИСХОДНЫЕ ДАННЫЕ'!$C$8*3,2)+'ИСХОДНЫЕ ДАННЫЕ'!$C$34,2)&gt;=0,"","С учётом переплаты оплата за "&amp;"IV квартал "&amp;'ИСХОДНЫЕ ДАННЫЕ'!$C$5&amp;" г."&amp;" не требуется; остаток переплаты — "&amp;IF(INT(INT(ROUND(-ROUND(ROUND('ИСХОДНЫЕ ДАННЫЕ'!$C$8*3,2)+'ИСХОДНЫЕ ДАННЫЕ'!$C$34,2),2))/1000)&gt;0,INT(INT(ROUND(-ROUND(ROUND('ИСХОДНЫЕ ДАННЫЕ'!$C$8*3,2)+'ИСХОДНЫЕ ДАННЫЕ'!$C$34,2),2))/1000)&amp;" "&amp;TEXT((INT(ROUND(-ROUND(ROUND('ИСХОДНЫЕ ДАННЫЕ'!$C$8*3,2)+'ИСХОДНЫЕ ДАННЫЕ'!$C$34,2),2))-INT(INT(ROUND(-ROUND(ROUND('ИСХОДНЫЕ ДАННЫЕ'!$C$8*3,2)+'ИСХОДНЫЕ ДАННЫЕ'!$C$34,2),2))/1000)*1000),"000"),(INT(ROUND(-ROUND(ROUND('ИСХОДНЫЕ ДАННЫЕ'!$C$8*3,2)+'ИСХОДНЫЕ ДАННЫЕ'!$C$34,2),2))-INT(INT(ROUND(-ROUND(ROUND('ИСХОДНЫЕ ДАННЫЕ'!$C$8*3,2)+'ИСХОДНЫЕ ДАННЫЕ'!$C$34,2),2))/1000)*1000)&amp;"")&amp;","&amp;TEXT((ROUND(ROUND(-ROUND(ROUND('ИСХОДНЫЕ ДАННЫЕ'!$C$8*3,2)+'ИСХОДНЫЕ ДАННЫЕ'!$C$34,2),2)*100,0)-INT(ROUND(-ROUND(ROUND('ИСХОДНЫЕ ДАННЫЕ'!$C$8*3,2)+'ИСХОДНЫЕ ДАННЫЕ'!$C$34,2),2))*100),"00")&amp;" руб.")</f>
        <v/>
      </c>
      <c r="C15" s="77" t="n"/>
      <c r="D15" s="77" t="n"/>
      <c r="E15" s="77" t="n"/>
      <c r="F15" s="77" t="n"/>
    </row>
    <row r="16" ht="90" customHeight="1">
      <c r="B16" s="77">
        <f>"Для сведения и сверки оплат направляю акт взаимных расчётов по взносам на капитальный ремонт по квартире № "&amp;'ИСХОДНЫЕ ДАННЫЕ'!$C$12&amp;" с учётом всех поступивших платежей на специальный счёт МКД "&amp;'ИСХОДНЫЕ ДАННЫЕ'!$C$14&amp;" (р/счёт "&amp;'ИСХОДНЫЕ ДАННЫЕ'!$C$45&amp;") по состоянию расчётов на "&amp;TEXT(DAY('ИСХОДНЫЕ ДАННЫЕ'!$E$34),"00")&amp;"."&amp;TEXT(MONTH('ИСХОДНЫЕ ДАННЫЕ'!$E$34),"00")&amp;"."&amp;YEAR('ИСХОДНЫЕ ДАННЫЕ'!$E$34)&amp;" и с учётом начислений по "&amp;"декабрь "&amp;'ИСХОДНЫЕ ДАННЫЕ'!$C$5&amp;" года включительно."</f>
        <v/>
      </c>
      <c r="C16" s="77" t="n"/>
      <c r="D16" s="77" t="n"/>
      <c r="E16" s="77" t="n"/>
      <c r="F16" s="77" t="n"/>
    </row>
    <row r="17" ht="10" customHeight="1"/>
    <row r="18" ht="54" customHeight="1">
      <c r="B18" s="77">
        <f>"В случае возникновения дополнительных вопросов прошу связаться со мной по электронной почте "&amp;'ИСХОДНЫЕ ДАННЫЕ'!$C$22&amp;" или по телефону "&amp;'ИСХОДНЫЕ ДАННЫЕ'!$C$21&amp;"."</f>
        <v/>
      </c>
      <c r="C18" s="77" t="n"/>
      <c r="D18" s="77" t="n"/>
      <c r="E18" s="77" t="n"/>
      <c r="F18" s="77" t="n"/>
    </row>
    <row r="19" ht="14" customHeight="1"/>
    <row r="20" ht="20" customHeight="1">
      <c r="B20" s="76" t="inlineStr">
        <is>
          <t>ПРИЛОЖЕНИЯ:</t>
        </is>
      </c>
      <c r="C20" s="76" t="n"/>
      <c r="D20" s="76" t="n"/>
      <c r="E20" s="76" t="n"/>
      <c r="F20" s="76" t="n"/>
    </row>
    <row r="21" ht="18" customHeight="1">
      <c r="B21" s="77">
        <f>"1) Акт взаимных расчётов по состоянию на "&amp;TEXT(DAY('ИСХОДНЫЕ ДАННЫЕ'!$E$34),"00")&amp;"."&amp;TEXT(MONTH('ИСХОДНЫЕ ДАННЫЕ'!$E$34),"00")&amp;"."&amp;YEAR('ИСХОДНЫЕ ДАННЫЕ'!$E$34)&amp;" — один экземпляр на 1 л."</f>
        <v/>
      </c>
      <c r="C21" s="77" t="n"/>
      <c r="D21" s="77" t="n"/>
      <c r="E21" s="77" t="n"/>
      <c r="F21" s="77" t="n"/>
    </row>
    <row r="22" ht="18" customHeight="1">
      <c r="B22" s="77">
        <f>"2) Квитанция для оплаты за "&amp;"IV квартал "&amp;'ИСХОДНЫЕ ДАННЫЕ'!$C$5&amp;" г."&amp;" — один экземпляр на 1 л."</f>
        <v/>
      </c>
      <c r="C22" s="77" t="n"/>
      <c r="D22" s="77" t="n"/>
      <c r="E22" s="77" t="n"/>
      <c r="F22" s="77" t="n"/>
    </row>
    <row r="23" ht="26" customHeight="1"/>
    <row r="24" ht="20" customHeight="1">
      <c r="B24" s="77">
        <f>"«______» ______________ "&amp;'ИСХОДНЫЕ ДАННЫЕ'!$C$5&amp;" г."</f>
        <v/>
      </c>
      <c r="C24" s="77" t="n"/>
    </row>
    <row r="25" ht="16" customHeight="1"/>
    <row r="26" ht="16" customHeight="1">
      <c r="B26" s="77" t="inlineStr">
        <is>
          <t>Председатель</t>
        </is>
      </c>
      <c r="C26" s="77" t="n"/>
    </row>
    <row r="27" ht="16" customHeight="1">
      <c r="B27" s="77">
        <f>"МКД "&amp;'ИСХОДНЫЕ ДАННЫЕ'!$C$15</f>
        <v/>
      </c>
      <c r="C27" s="77" t="n"/>
      <c r="D27" s="79">
        <f>"___________________  /"&amp;'ИСХОДНЫЕ ДАННЫЕ'!$C$19&amp;"/"</f>
        <v/>
      </c>
      <c r="E27" s="79" t="n"/>
      <c r="F27" s="79" t="n"/>
    </row>
  </sheetData>
  <mergeCells count="21">
    <mergeCell ref="D2:F2"/>
    <mergeCell ref="D27:F27"/>
    <mergeCell ref="B16:F16"/>
    <mergeCell ref="B22:F22"/>
    <mergeCell ref="B27:C27"/>
    <mergeCell ref="B18:F18"/>
    <mergeCell ref="B21:F21"/>
    <mergeCell ref="B11:F11"/>
    <mergeCell ref="D4:F4"/>
    <mergeCell ref="D3:F3"/>
    <mergeCell ref="B14:F14"/>
    <mergeCell ref="B8:F8"/>
    <mergeCell ref="B13:F13"/>
    <mergeCell ref="D5:F5"/>
    <mergeCell ref="B10:F10"/>
    <mergeCell ref="D1:F1"/>
    <mergeCell ref="B24:C24"/>
    <mergeCell ref="B20:F20"/>
    <mergeCell ref="B15:F15"/>
    <mergeCell ref="B26:C26"/>
    <mergeCell ref="D6:F6"/>
  </mergeCells>
  <pageMargins left="0.59" right="0.39" top="0.51" bottom="0.51" header="0.5" footer="0.5"/>
  <pageSetup orientation="portrait" paperSize="9" fitToHeight="1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F2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6" customHeight="1">
      <c r="A1" s="80" t="inlineStr">
        <is>
          <t>КВАРТАЛЬНЫЕ КВИТАНЦИИ И ПИСЬМА — КАК ПОЛЬЗОВАТЬСЯ</t>
        </is>
      </c>
    </row>
    <row r="2" ht="8" customHeight="1">
      <c r="A2" s="81" t="inlineStr"/>
    </row>
    <row r="3" ht="22" customHeight="1">
      <c r="A3" s="82" t="inlineStr">
        <is>
          <t>1. Где вводить данные</t>
        </is>
      </c>
    </row>
    <row r="4" ht="32" customHeight="1">
      <c r="A4" s="83" t="inlineStr">
        <is>
          <t>Всё вводится на листе «ИСХОДНЫЕ ДАННЫЕ», в жёлтых ячейках. Остальные девять листов — расчётные: они читают эти значения формулами и пересчитываются сами.</t>
        </is>
      </c>
    </row>
    <row r="5" ht="32" customHeight="1">
      <c r="A5" s="83" t="inlineStr">
        <is>
          <t>Ежегодно меняется только тариф (блок 1). Поменяли размер взноса и год — все четыре квитанции и все четыре письма обновились.</t>
        </is>
      </c>
    </row>
    <row r="6" ht="32" customHeight="1">
      <c r="A6" s="83" t="inlineStr">
        <is>
          <t>Начисление за месяц по умолчанию считается как площадь × тариф. Если сумму нужно задать вручную, замените в ячейке формулу числом.</t>
        </is>
      </c>
    </row>
    <row r="7" ht="8" customHeight="1">
      <c r="A7" s="81" t="inlineStr"/>
    </row>
    <row r="8" ht="22" customHeight="1">
      <c r="A8" s="82" t="inlineStr">
        <is>
          <t>2. Задолженность по кварталам</t>
        </is>
      </c>
    </row>
    <row r="9" ht="32" customHeight="1">
      <c r="A9" s="83" t="inlineStr">
        <is>
          <t>Блок 5 листа «ИСХОДНЫЕ ДАННЫЕ» — таблица на четыре строки. Для каждого квартала укажите сумму задолженности, её описание (оно попадёт и в квитанцию, и в письмо) и дату формирования.</t>
        </is>
      </c>
    </row>
    <row r="10" ht="32" customHeight="1">
      <c r="A10" s="83" t="inlineStr">
        <is>
          <t>Если задолженности нет, поставьте 0: в письме вместо строки о долге напечатается «задолженности за предыдущие периоды нет», а в квитанции строка останется с нулём.</t>
        </is>
      </c>
    </row>
    <row r="11" ht="8" customHeight="1">
      <c r="A11" s="81" t="inlineStr"/>
    </row>
    <row r="12" ht="22" customHeight="1">
      <c r="A12" s="82" t="inlineStr">
        <is>
          <t>3. Сопроводительное письмо</t>
        </is>
      </c>
    </row>
    <row r="13" ht="32" customHeight="1">
      <c r="A13" s="83" t="inlineStr">
        <is>
          <t>Суммы, периоды, даты и приложения подтягиваются автоматически. Сумма прописью считается формулами по скрытому листу ПРОПИСЬ — макросы для этого не нужны, книга остаётся обычным .xlsx.</t>
        </is>
      </c>
    </row>
    <row r="14" ht="32" customHeight="1">
      <c r="A14" s="83" t="inlineStr">
        <is>
          <t>Адресат письма — блок 4. Должность и ФИО руководителя правятся здесь; при смене директора достаточно поменять их один раз. Если ФИО оставить пустым, строка с ним не напечатается.</t>
        </is>
      </c>
    </row>
    <row r="15" ht="8" customHeight="1">
      <c r="A15" s="81" t="inlineStr"/>
    </row>
    <row r="16" ht="22" customHeight="1">
      <c r="A16" s="82" t="inlineStr">
        <is>
          <t>4. Печать</t>
        </is>
      </c>
    </row>
    <row r="17" ht="32" customHeight="1">
      <c r="A17" s="83" t="inlineStr">
        <is>
          <t>Каждый лист настроен на одну страницу А4. Квитанции — книжная ориентация, поля 6 мм; письма — стандартные поля 20/15 мм.</t>
        </is>
      </c>
    </row>
    <row r="18" ht="32" customHeight="1">
      <c r="A18" s="83" t="inlineStr">
        <is>
          <t>Книга сохранена в чёрно-белом виде: заливок нет, акценты сделаны кеглем, полужирным и рамками. Цветной вариант для отправки по электронной почте лежит отдельным файлом.</t>
        </is>
      </c>
    </row>
    <row r="19" ht="8" customHeight="1">
      <c r="A19" s="81" t="inlineStr"/>
    </row>
    <row r="20" ht="22" customHeight="1">
      <c r="A20" s="82" t="inlineStr">
        <is>
          <t>5. Что проверить</t>
        </is>
      </c>
    </row>
    <row r="21" ht="32" customHeight="1">
      <c r="A21" s="83" t="inlineStr">
        <is>
          <t>• Тариф 15,30 руб./м² и площадь 52,8 м² взяты из вашего образца за I квартал 2026 года. Начисление выходит 807,84 руб. в месяц и 2 423,52 руб. за квартал — совпадает с образцом.</t>
        </is>
      </c>
    </row>
    <row r="22" ht="32" customHeight="1">
      <c r="A22" s="83" t="inlineStr">
        <is>
          <t>• Задолженность 4 042,38 руб. проставлена только для I квартала. Для остальных кварталов стоят нули — заполните их по факту.</t>
        </is>
      </c>
    </row>
    <row r="23" ht="32" customHeight="1">
      <c r="A23" s="83" t="inlineStr">
        <is>
          <t>• В образце письма период января–марта 2026 года был подписан как «I квартал 2025 г.» — в шаблоне это исправлено на 2026 год.</t>
        </is>
      </c>
    </row>
  </sheetData>
  <mergeCells count="23">
    <mergeCell ref="A16:F16"/>
    <mergeCell ref="A12:F12"/>
    <mergeCell ref="A18:F18"/>
    <mergeCell ref="A3:F3"/>
    <mergeCell ref="A21:F21"/>
    <mergeCell ref="A2:F2"/>
    <mergeCell ref="A14:F14"/>
    <mergeCell ref="A5:F5"/>
    <mergeCell ref="A23:F23"/>
    <mergeCell ref="A8:F8"/>
    <mergeCell ref="A22:F22"/>
    <mergeCell ref="A17:F17"/>
    <mergeCell ref="A4:F4"/>
    <mergeCell ref="A20:F20"/>
    <mergeCell ref="A10:F10"/>
    <mergeCell ref="A13:F13"/>
    <mergeCell ref="A19:F19"/>
    <mergeCell ref="A9:F9"/>
    <mergeCell ref="A15:F15"/>
    <mergeCell ref="A11:F11"/>
    <mergeCell ref="A1:F1"/>
    <mergeCell ref="A6:F6"/>
    <mergeCell ref="A7:F7"/>
  </mergeCells>
  <pageMargins left="0.4" right="0.4" top="0.4" bottom="0.4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2026-10-06T06:25:27Z</dcterms:created>
  <dcterms:modified xsi:type="dcterms:W3CDTF">2026-10-06T06:25:27Z</dcterms:modified>
</cp:coreProperties>
</file>