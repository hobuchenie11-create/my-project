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ХОДНЫЕ ДАННЫЕ" sheetId="1" state="visible" r:id="rId1"/>
    <sheet name="ПРОПИСЬ" sheetId="2" state="hidden" r:id="rId2"/>
    <sheet name="Квитанция 1 кв" sheetId="3" state="visible" r:id="rId3"/>
    <sheet name="Квитанция 2 кв" sheetId="4" state="visible" r:id="rId4"/>
    <sheet name="Квитанция 3 кв" sheetId="5" state="visible" r:id="rId5"/>
    <sheet name="Квитанция 4 кв" sheetId="6" state="visible" r:id="rId6"/>
    <sheet name="Письмо 1 кв" sheetId="7" state="visible" r:id="rId7"/>
    <sheet name="Письмо 2 кв" sheetId="8" state="visible" r:id="rId8"/>
    <sheet name="Письмо 3 кв" sheetId="9" state="visible" r:id="rId9"/>
    <sheet name="Письмо 4 кв" sheetId="10" state="visible" r:id="rId10"/>
    <sheet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ДАННЫЕ'!$B$31:$F$34</definedName>
    <definedName name="_xlnm.Print_Area" localSheetId="0">'ИСХОДНЫЕ ДАННЫЕ'!$B$1:$F$52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кв'!$B$1:$F$27</definedName>
    <definedName name="_xlnm.Print_Area" localSheetId="7">'Письмо 2 кв'!$B$1:$F$27</definedName>
    <definedName name="_xlnm.Print_Area" localSheetId="8">'Письмо 3 кв'!$B$1:$F$27</definedName>
    <definedName name="_xlnm.Print_Area" localSheetId="9">'Письмо 4 кв'!$B$1:$F$27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5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0F6B70"/>
      <sz val="10"/>
    </font>
    <font>
      <name val="Arial"/>
      <color rgb="00263238"/>
      <sz val="10"/>
    </font>
    <font>
      <name val="Arial"/>
      <b val="1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1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color rgb="00263238"/>
      <sz val="11"/>
    </font>
    <font>
      <name val="Arial"/>
      <i val="1"/>
      <color rgb="00263238"/>
      <sz val="11"/>
    </font>
    <font>
      <name val="Arial"/>
      <b val="1"/>
      <color rgb="000F6B70"/>
      <sz val="13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F3F5F5"/>
      </patternFill>
    </fill>
    <fill>
      <patternFill patternType="solid">
        <fgColor rgb="00E8F3F3"/>
      </patternFill>
    </fill>
    <fill>
      <patternFill patternType="solid">
        <fgColor rgb="00DDEFF0"/>
      </patternFill>
    </fill>
    <fill>
      <patternFill patternType="solid">
        <fgColor rgb="00FFFFFF"/>
      </patternFill>
    </fill>
    <fill>
      <patternFill patternType="solid">
        <fgColor rgb="00263238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4" fontId="5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166" fontId="8" fillId="4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2" borderId="2" applyAlignment="1" pivotButton="0" quotePrefix="0" xfId="0">
      <alignment horizontal="center" vertical="center" wrapText="1"/>
    </xf>
    <xf numFmtId="0" fontId="12" fillId="5" borderId="3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right" vertical="center" indent="1"/>
    </xf>
    <xf numFmtId="0" fontId="12" fillId="5" borderId="5" applyAlignment="1" pivotButton="0" quotePrefix="0" xfId="0">
      <alignment horizontal="right" vertical="center" indent="1"/>
    </xf>
    <xf numFmtId="0" fontId="3" fillId="2" borderId="3" applyAlignment="1" pivotButton="0" quotePrefix="0" xfId="0">
      <alignment horizontal="left" vertical="center" indent="1"/>
    </xf>
    <xf numFmtId="0" fontId="3" fillId="2" borderId="4" applyAlignment="1" pivotButton="0" quotePrefix="0" xfId="0">
      <alignment horizontal="left" vertical="center" indent="1"/>
    </xf>
    <xf numFmtId="0" fontId="3" fillId="2" borderId="5" applyAlignment="1" pivotButton="0" quotePrefix="0" xfId="0">
      <alignment horizontal="left" vertical="center" indent="1"/>
    </xf>
    <xf numFmtId="0" fontId="13" fillId="3" borderId="7" applyAlignment="1" pivotButton="0" quotePrefix="0" xfId="0">
      <alignment horizontal="left" vertical="center" wrapText="1" indent="1"/>
    </xf>
    <xf numFmtId="0" fontId="14" fillId="6" borderId="1" applyAlignment="1" pivotButton="0" quotePrefix="0" xfId="0">
      <alignment horizontal="left" vertical="center" wrapText="1" indent="1"/>
    </xf>
    <xf numFmtId="0" fontId="14" fillId="6" borderId="8" applyAlignment="1" pivotButton="0" quotePrefix="0" xfId="0">
      <alignment horizontal="left" vertical="center" wrapText="1" indent="1"/>
    </xf>
    <xf numFmtId="0" fontId="13" fillId="3" borderId="7" applyAlignment="1" pivotButton="0" quotePrefix="0" xfId="0">
      <alignment horizontal="left" vertical="center" indent="1"/>
    </xf>
    <xf numFmtId="0" fontId="15" fillId="6" borderId="1" applyAlignment="1" pivotButton="0" quotePrefix="0" xfId="0">
      <alignment horizontal="left" vertical="center" indent="1"/>
    </xf>
    <xf numFmtId="0" fontId="15" fillId="6" borderId="8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left" vertical="center" indent="1"/>
    </xf>
    <xf numFmtId="0" fontId="4" fillId="6" borderId="8" applyAlignment="1" pivotButton="0" quotePrefix="0" xfId="0">
      <alignment horizontal="left" vertical="center" indent="1"/>
    </xf>
    <xf numFmtId="0" fontId="13" fillId="3" borderId="9" applyAlignment="1" pivotButton="0" quotePrefix="0" xfId="0">
      <alignment horizontal="left" vertical="center" indent="1"/>
    </xf>
    <xf numFmtId="0" fontId="15" fillId="6" borderId="6" applyAlignment="1" pivotButton="0" quotePrefix="0" xfId="0">
      <alignment horizontal="left" vertical="center" indent="1"/>
    </xf>
    <xf numFmtId="0" fontId="13" fillId="3" borderId="6" applyAlignment="1" pivotButton="0" quotePrefix="0" xfId="0">
      <alignment horizontal="left" vertical="center" indent="1"/>
    </xf>
    <xf numFmtId="0" fontId="15" fillId="6" borderId="10" applyAlignment="1" pivotButton="0" quotePrefix="0" xfId="0">
      <alignment horizontal="left" vertical="center" indent="1"/>
    </xf>
    <xf numFmtId="0" fontId="16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 indent="1"/>
    </xf>
    <xf numFmtId="166" fontId="9" fillId="6" borderId="1" applyAlignment="1" pivotButton="0" quotePrefix="0" xfId="0">
      <alignment horizontal="center" vertical="center"/>
    </xf>
    <xf numFmtId="166" fontId="9" fillId="6" borderId="8" applyAlignment="1" pivotButton="0" quotePrefix="0" xfId="0">
      <alignment horizontal="center" vertical="center"/>
    </xf>
    <xf numFmtId="0" fontId="13" fillId="3" borderId="9" applyAlignment="1" pivotButton="0" quotePrefix="0" xfId="0">
      <alignment horizontal="left" vertical="center" wrapText="1" indent="1"/>
    </xf>
    <xf numFmtId="164" fontId="4" fillId="6" borderId="6" applyAlignment="1" pivotButton="0" quotePrefix="0" xfId="0">
      <alignment horizontal="center" vertical="center"/>
    </xf>
    <xf numFmtId="0" fontId="13" fillId="3" borderId="6" applyAlignment="1" pivotButton="0" quotePrefix="0" xfId="0">
      <alignment horizontal="left" vertical="center" wrapText="1" indent="1"/>
    </xf>
    <xf numFmtId="4" fontId="4" fillId="6" borderId="6" applyAlignment="1" pivotButton="0" quotePrefix="0" xfId="0">
      <alignment horizontal="center" vertical="center"/>
    </xf>
    <xf numFmtId="0" fontId="4" fillId="6" borderId="6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7" fillId="7" borderId="6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15" fillId="6" borderId="7" applyAlignment="1" pivotButton="0" quotePrefix="0" xfId="0">
      <alignment horizontal="left" vertical="center" indent="1"/>
    </xf>
    <xf numFmtId="0" fontId="15" fillId="6" borderId="1" applyAlignment="1" pivotButton="0" quotePrefix="0" xfId="0">
      <alignment horizontal="center" vertical="center"/>
    </xf>
    <xf numFmtId="4" fontId="4" fillId="6" borderId="8" applyAlignment="1" pivotButton="0" quotePrefix="0" xfId="0">
      <alignment horizontal="right" vertical="center" indent="1"/>
    </xf>
    <xf numFmtId="0" fontId="14" fillId="3" borderId="7" applyAlignment="1" pivotButton="0" quotePrefix="0" xfId="0">
      <alignment horizontal="left" vertical="center" indent="1"/>
    </xf>
    <xf numFmtId="0" fontId="14" fillId="3" borderId="1" applyAlignment="1" pivotButton="0" quotePrefix="0" xfId="0">
      <alignment horizontal="left" vertical="center" indent="1"/>
    </xf>
    <xf numFmtId="0" fontId="15" fillId="3" borderId="1" applyAlignment="1" pivotButton="0" quotePrefix="0" xfId="0">
      <alignment horizontal="center" vertical="center"/>
    </xf>
    <xf numFmtId="4" fontId="4" fillId="3" borderId="8" applyAlignment="1" pivotButton="0" quotePrefix="0" xfId="0">
      <alignment horizontal="right" vertical="center" indent="1"/>
    </xf>
    <xf numFmtId="0" fontId="15" fillId="6" borderId="1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left" vertical="center" indent="1"/>
    </xf>
    <xf numFmtId="0" fontId="17" fillId="2" borderId="4" applyAlignment="1" pivotButton="0" quotePrefix="0" xfId="0">
      <alignment horizontal="left" vertical="center" indent="1"/>
    </xf>
    <xf numFmtId="4" fontId="18" fillId="4" borderId="2" applyAlignment="1" pivotButton="0" quotePrefix="0" xfId="0">
      <alignment horizontal="right" vertical="center" indent="1"/>
    </xf>
    <xf numFmtId="0" fontId="15" fillId="6" borderId="9" applyAlignment="1" pivotButton="0" quotePrefix="0" xfId="0">
      <alignment horizontal="left" vertical="center" indent="1"/>
    </xf>
    <xf numFmtId="4" fontId="4" fillId="6" borderId="6" applyAlignment="1" pivotButton="0" quotePrefix="0" xfId="0">
      <alignment horizontal="right" vertical="center" indent="1"/>
    </xf>
    <xf numFmtId="4" fontId="4" fillId="6" borderId="10" applyAlignment="1" pivotButton="0" quotePrefix="0" xfId="0">
      <alignment horizontal="right" vertical="center" indent="1"/>
    </xf>
    <xf numFmtId="0" fontId="15" fillId="6" borderId="7" applyAlignment="1" pivotButton="0" quotePrefix="0" xfId="0">
      <alignment horizontal="left" vertical="center" wrapText="1" indent="1"/>
    </xf>
    <xf numFmtId="0" fontId="15" fillId="6" borderId="1" applyAlignment="1" pivotButton="0" quotePrefix="0" xfId="0">
      <alignment horizontal="left" vertical="center" wrapText="1" indent="1"/>
    </xf>
    <xf numFmtId="0" fontId="12" fillId="3" borderId="1" applyAlignment="1" pivotButton="0" quotePrefix="0" xfId="0">
      <alignment horizontal="center" vertical="center" wrapText="1"/>
    </xf>
    <xf numFmtId="0" fontId="12" fillId="3" borderId="8" applyAlignment="1" pivotButton="0" quotePrefix="0" xfId="0">
      <alignment horizontal="center" vertical="center" wrapText="1"/>
    </xf>
    <xf numFmtId="0" fontId="14" fillId="4" borderId="9" applyAlignment="1" pivotButton="0" quotePrefix="0" xfId="0">
      <alignment horizontal="center" vertical="center" wrapText="1"/>
    </xf>
    <xf numFmtId="0" fontId="14" fillId="4" borderId="6" applyAlignment="1" pivotButton="0" quotePrefix="0" xfId="0">
      <alignment horizontal="center" vertical="center" wrapText="1"/>
    </xf>
    <xf numFmtId="0" fontId="12" fillId="3" borderId="6" applyAlignment="1" pivotButton="0" quotePrefix="0" xfId="0">
      <alignment horizontal="center" vertical="center" wrapText="1"/>
    </xf>
    <xf numFmtId="0" fontId="12" fillId="3" borderId="10" applyAlignment="1" pivotButton="0" quotePrefix="0" xfId="0">
      <alignment horizontal="center" vertical="center" wrapText="1"/>
    </xf>
    <xf numFmtId="0" fontId="19" fillId="2" borderId="2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left" vertical="top" wrapText="1"/>
    </xf>
    <xf numFmtId="0" fontId="21" fillId="6" borderId="0" applyAlignment="1" pivotButton="0" quotePrefix="0" xfId="0">
      <alignment horizontal="left" vertical="top" wrapText="1"/>
    </xf>
    <xf numFmtId="0" fontId="22" fillId="6" borderId="0" applyAlignment="1" pivotButton="0" quotePrefix="0" xfId="0">
      <alignment horizontal="left" vertical="top" wrapText="1"/>
    </xf>
    <xf numFmtId="0" fontId="21" fillId="6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8" customWidth="1" min="3" max="3"/>
    <col width="3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Ячейки на бирюзовом фоне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30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30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30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18" customHeight="1">
      <c r="B8" s="9" t="inlineStr">
        <is>
          <t>Начислено за месяц, руб.</t>
        </is>
      </c>
      <c r="C8" s="10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30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30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30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30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30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…»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30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Яворсюк Елены Викторовны»</t>
        </is>
      </c>
    </row>
    <row r="19" ht="30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30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30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30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4" ht="20" customHeight="1">
      <c r="B24" s="3" t="inlineStr">
        <is>
          <t>4. АДРЕСАТ ПИСЬМА (МЕНЯЕТСЯ ПРИ СМЕНЕ РУКОВОДИТЕЛЯ)</t>
        </is>
      </c>
      <c r="C24" s="3" t="n"/>
      <c r="D24" s="3" t="n"/>
      <c r="E24" s="3" t="n"/>
      <c r="F24" s="3" t="n"/>
      <c r="G24" s="3" t="n"/>
    </row>
    <row r="25" ht="30" customHeight="1">
      <c r="B25" s="4" t="inlineStr">
        <is>
          <t>Организация</t>
        </is>
      </c>
      <c r="C25" s="5" t="inlineStr">
        <is>
          <t>Департамент жилищной политики Администрации города Омска</t>
        </is>
      </c>
      <c r="D25" s="6" t="inlineStr"/>
    </row>
    <row r="26" ht="30" customHeight="1">
      <c r="B26" s="4" t="inlineStr">
        <is>
          <t>Должность руководителя</t>
        </is>
      </c>
      <c r="C26" s="5" t="inlineStr">
        <is>
          <t>Директору</t>
        </is>
      </c>
      <c r="D26" s="6" t="inlineStr">
        <is>
          <t>В дательном падеже: «Директору»</t>
        </is>
      </c>
    </row>
    <row r="27" ht="30" customHeight="1">
      <c r="B27" s="4" t="inlineStr">
        <is>
          <t>ФИО руководителя</t>
        </is>
      </c>
      <c r="C27" s="5" t="inlineStr"/>
      <c r="D27" s="6" t="inlineStr">
        <is>
          <t>Оставьте пустым — строка не напечатается</t>
        </is>
      </c>
    </row>
    <row r="29" ht="20" customHeight="1">
      <c r="B29" s="3" t="inlineStr">
        <is>
          <t>5. ПО КВАРТАЛАМ: ЗАДОЛЖЕННОСТЬ И ДАТЫ</t>
        </is>
      </c>
      <c r="C29" s="3" t="n"/>
      <c r="D29" s="3" t="n"/>
      <c r="E29" s="3" t="n"/>
      <c r="F29" s="3" t="n"/>
      <c r="G29" s="3" t="n"/>
    </row>
    <row r="30" ht="32" customHeight="1">
      <c r="B30" s="11" t="inlineStr">
        <is>
          <t>Квартал</t>
        </is>
      </c>
      <c r="C30" s="11" t="inlineStr">
        <is>
          <t>Задолженность (−переплата), руб.</t>
        </is>
      </c>
      <c r="D30" s="11" t="inlineStr">
        <is>
          <t>Описание</t>
        </is>
      </c>
      <c r="E30" s="11" t="inlineStr">
        <is>
          <t>Дата формирования</t>
        </is>
      </c>
      <c r="F30" s="11" t="inlineStr">
        <is>
          <t>Поступило с начала года, руб.</t>
        </is>
      </c>
    </row>
    <row r="31" ht="30" customHeight="1">
      <c r="B31" s="4" t="inlineStr">
        <is>
          <t>I квартал</t>
        </is>
      </c>
      <c r="C31" s="12" t="n">
        <v>4042.38</v>
      </c>
      <c r="D31" s="13" t="inlineStr">
        <is>
          <t>за III и IV кварталы 2025 года</t>
        </is>
      </c>
      <c r="E31" s="14" t="n">
        <v>46051</v>
      </c>
      <c r="F31" s="12" t="n"/>
    </row>
    <row r="32" ht="30" customHeight="1">
      <c r="B32" s="4" t="inlineStr">
        <is>
          <t>II квартал</t>
        </is>
      </c>
      <c r="C32" s="12" t="n">
        <v>0</v>
      </c>
      <c r="D32" s="13" t="inlineStr"/>
      <c r="E32" s="14" t="n">
        <v>46127</v>
      </c>
      <c r="F32" s="12" t="n"/>
    </row>
    <row r="33" ht="30" customHeight="1">
      <c r="B33" s="4" t="inlineStr">
        <is>
          <t>III квартал</t>
        </is>
      </c>
      <c r="C33" s="12" t="n">
        <v>0</v>
      </c>
      <c r="D33" s="13" t="inlineStr"/>
      <c r="E33" s="14" t="n">
        <v>46218</v>
      </c>
      <c r="F33" s="12" t="n"/>
    </row>
    <row r="34" ht="30" customHeight="1">
      <c r="B34" s="4" t="inlineStr">
        <is>
          <t>IV квартал</t>
        </is>
      </c>
      <c r="C34" s="12" t="n">
        <v>0</v>
      </c>
      <c r="D34" s="13" t="inlineStr"/>
      <c r="E34" s="14" t="n">
        <v>46310</v>
      </c>
      <c r="F34" s="12" t="n"/>
    </row>
    <row r="36">
      <c r="B36" s="15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7"/>
    <row r="39" ht="20" customHeight="1">
      <c r="B39" s="3" t="inlineStr">
        <is>
          <t>6. РЕКВИЗИТЫ СПЕЦИАЛЬНОГО СЧЁТА (НЕ МЕНЯЮТСЯ)</t>
        </is>
      </c>
      <c r="C39" s="3" t="n"/>
      <c r="D39" s="3" t="n"/>
      <c r="E39" s="3" t="n"/>
      <c r="F39" s="3" t="n"/>
      <c r="G39" s="3" t="n"/>
    </row>
    <row r="40" ht="44" customHeight="1">
      <c r="B40" s="4" t="inlineStr">
        <is>
          <t>Получатель платежа</t>
        </is>
      </c>
      <c r="C40" s="16" t="inlineStr">
        <is>
          <t>РЕГИОНАЛЬНЫЙ ФОНД КАПИТАЛЬНОГО РЕМОНТА МНОГОКВАРТИРНЫХ ДОМОВ ОМСКОЙ ОБЛАСТИ (СПЕЦ. СЧЕТ)</t>
        </is>
      </c>
      <c r="D40" s="17" t="n"/>
    </row>
    <row r="41" ht="30" customHeight="1">
      <c r="B41" s="4" t="inlineStr">
        <is>
          <t>Юридический адрес</t>
        </is>
      </c>
      <c r="C41" s="16" t="inlineStr">
        <is>
          <t>644099, г. Омск, ул. Краснофлотская, 24</t>
        </is>
      </c>
      <c r="D41" s="17" t="n"/>
    </row>
    <row r="42" ht="30" customHeight="1">
      <c r="B42" s="4" t="inlineStr">
        <is>
          <t>ИНН</t>
        </is>
      </c>
      <c r="C42" s="16" t="inlineStr">
        <is>
          <t>5503239348</t>
        </is>
      </c>
      <c r="D42" s="17" t="n"/>
    </row>
    <row r="43" ht="30" customHeight="1">
      <c r="B43" s="4" t="inlineStr">
        <is>
          <t>КПП</t>
        </is>
      </c>
      <c r="C43" s="16" t="inlineStr">
        <is>
          <t>550301001</t>
        </is>
      </c>
      <c r="D43" s="17" t="n"/>
    </row>
    <row r="44" ht="30" customHeight="1">
      <c r="B44" s="4" t="inlineStr">
        <is>
          <t>ОГРН</t>
        </is>
      </c>
      <c r="C44" s="16" t="inlineStr">
        <is>
          <t>1027700342890</t>
        </is>
      </c>
      <c r="D44" s="17" t="n"/>
    </row>
    <row r="45" ht="30" customHeight="1">
      <c r="B45" s="4" t="inlineStr">
        <is>
          <t>Расчётный счёт (спец. счёт МКД)</t>
        </is>
      </c>
      <c r="C45" s="16" t="inlineStr">
        <is>
          <t>40604810809000000154</t>
        </is>
      </c>
      <c r="D45" s="17" t="n"/>
    </row>
    <row r="46" ht="30" customHeight="1">
      <c r="B46" s="4" t="inlineStr">
        <is>
          <t>Банк</t>
        </is>
      </c>
      <c r="C46" s="16" t="inlineStr">
        <is>
          <t>Омский РФ АО «Россельхозбанк»</t>
        </is>
      </c>
      <c r="D46" s="17" t="n"/>
    </row>
    <row r="47" ht="30" customHeight="1">
      <c r="B47" s="4" t="inlineStr">
        <is>
          <t>Корреспондентский счёт</t>
        </is>
      </c>
      <c r="C47" s="16" t="inlineStr">
        <is>
          <t>30101810900000000822</t>
        </is>
      </c>
      <c r="D47" s="17" t="n"/>
    </row>
    <row r="48" ht="30" customHeight="1">
      <c r="B48" s="4" t="inlineStr">
        <is>
          <t>БИК</t>
        </is>
      </c>
      <c r="C48" s="16" t="inlineStr">
        <is>
          <t>045209822</t>
        </is>
      </c>
      <c r="D48" s="17" t="n"/>
    </row>
    <row r="49" ht="30" customHeight="1">
      <c r="B49" s="4" t="inlineStr">
        <is>
          <t>ИНН/КПП банка</t>
        </is>
      </c>
      <c r="C49" s="16" t="inlineStr">
        <is>
          <t>7725114488 / 550502001</t>
        </is>
      </c>
      <c r="D49" s="17" t="n"/>
    </row>
    <row r="50" ht="30" customHeight="1">
      <c r="B50" s="4" t="inlineStr">
        <is>
          <t>День срока оплаты</t>
        </is>
      </c>
      <c r="C50" s="16" t="n">
        <v>15</v>
      </c>
      <c r="D50" s="6" t="inlineStr">
        <is>
          <t>Единый срок по ч. 1 ст. 155 и ч. 2 ст. 171 ЖК РФ (ФЗ от 24.06.2025 № 177-ФЗ)</t>
        </is>
      </c>
    </row>
  </sheetData>
  <mergeCells count="9">
    <mergeCell ref="B24:G24"/>
    <mergeCell ref="B2:G2"/>
    <mergeCell ref="B10:G10"/>
    <mergeCell ref="B17:G17"/>
    <mergeCell ref="B1:G1"/>
    <mergeCell ref="B4:G4"/>
    <mergeCell ref="B36:G37"/>
    <mergeCell ref="B29:G29"/>
    <mergeCell ref="B39:G39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Число</t>
        </is>
      </c>
      <c r="B1" s="18" t="inlineStr">
        <is>
          <t>Прописью (муж.)</t>
        </is>
      </c>
      <c r="C1" s="18" t="inlineStr">
        <is>
          <t>Форма рубля</t>
        </is>
      </c>
      <c r="D1" s="18" t="inlineStr">
        <is>
          <t>Прописью (жен.)</t>
        </is>
      </c>
      <c r="E1" s="18" t="inlineStr">
        <is>
          <t>Форма тысячи</t>
        </is>
      </c>
      <c r="F1" s="18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ДАННЫЕ'!$E$31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"январь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"февраль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"март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61">
        <f>IF('ИСХОДНЫЕ ДАННЫЕ'!$D$31="","",'ИСХОДНЫЕ ДАННЫЕ'!$D$31)</f>
        <v/>
      </c>
      <c r="G25" s="61" t="n"/>
      <c r="H25" s="56">
        <f>'ИСХОДНЫЕ ДАННЫЕ'!$C$31</f>
        <v/>
      </c>
    </row>
    <row r="26" ht="28" customHeight="1">
      <c r="B26" s="62">
        <f>"ИТОГО К ОПЛАТЕ"&amp;IF(ROUND(H24+H25,2)&lt;=0,"      переплата зачтена, оплата за квартал не требуется","")</f>
        <v/>
      </c>
      <c r="C26" s="63" t="n"/>
      <c r="D26" s="63" t="n"/>
      <c r="E26" s="63" t="n"/>
      <c r="F26" s="63" t="n"/>
      <c r="G26" s="63" t="n"/>
      <c r="H26" s="64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ДАННЫЕ'!$F$31="","—",'ИСХОДНЫЕ ДАННЫЕ'!$F$31)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 квартал "&amp;'ИСХОДНЫЕ ДАННЫЕ'!$C$5&amp;" г."&amp;" — до "&amp;TEXT(DAY(DATE('ИСХОДНЫЕ ДАННЫЕ'!$C$5,3+1,'ИСХОДНЫЕ ДАННЫЕ'!$C$50)),"00")&amp;"."&amp;TEXT(MONTH(DATE('ИСХОДНЫЕ ДАННЫЕ'!$C$5,3+1,'ИСХОДНЫЕ ДАННЫЕ'!$C$50)),"00")&amp;"."&amp;YEAR(DATE('ИСХОДНЫЕ ДАННЫЕ'!$C$5,3+1,'ИСХОДНЫЕ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ДАННЫЕ'!$E$32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"апрель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"май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"июнь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61">
        <f>IF('ИСХОДНЫЕ ДАННЫЕ'!$D$32="","",'ИСХОДНЫЕ ДАННЫЕ'!$D$32)</f>
        <v/>
      </c>
      <c r="G25" s="61" t="n"/>
      <c r="H25" s="56">
        <f>'ИСХОДНЫЕ ДАННЫЕ'!$C$32</f>
        <v/>
      </c>
    </row>
    <row r="26" ht="28" customHeight="1">
      <c r="B26" s="62">
        <f>"ИТОГО К ОПЛАТЕ"&amp;IF(ROUND(H24+H25,2)&lt;=0,"      переплата зачтена, оплата за квартал не требуется","")</f>
        <v/>
      </c>
      <c r="C26" s="63" t="n"/>
      <c r="D26" s="63" t="n"/>
      <c r="E26" s="63" t="n"/>
      <c r="F26" s="63" t="n"/>
      <c r="G26" s="63" t="n"/>
      <c r="H26" s="64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ДАННЫЕ'!$F$32="","—",'ИСХОДНЫЕ ДАННЫЕ'!$F$32)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"&amp;"II квартал "&amp;'ИСХОДНЫЕ ДАННЫЕ'!$C$5&amp;" г."&amp;" — до "&amp;TEXT(DAY(DATE('ИСХОДНЫЕ ДАННЫЕ'!$C$5,6+1,'ИСХОДНЫЕ ДАННЫЕ'!$C$50)),"00")&amp;"."&amp;TEXT(MONTH(DATE('ИСХОДНЫЕ ДАННЫЕ'!$C$5,6+1,'ИСХОДНЫЕ ДАННЫЕ'!$C$50)),"00")&amp;"."&amp;YEAR(DATE('ИСХОДНЫЕ ДАННЫЕ'!$C$5,6+1,'ИСХОДНЫЕ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ДАННЫЕ'!$E$33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"июль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"август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"сентябрь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"III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61">
        <f>IF('ИСХОДНЫЕ ДАННЫЕ'!$D$33="","",'ИСХОДНЫЕ ДАННЫЕ'!$D$33)</f>
        <v/>
      </c>
      <c r="G25" s="61" t="n"/>
      <c r="H25" s="56">
        <f>'ИСХОДНЫЕ ДАННЫЕ'!$C$33</f>
        <v/>
      </c>
    </row>
    <row r="26" ht="28" customHeight="1">
      <c r="B26" s="62">
        <f>"ИТОГО К ОПЛАТЕ"&amp;IF(ROUND(H24+H25,2)&lt;=0,"      переплата зачтена, оплата за квартал не требуется","")</f>
        <v/>
      </c>
      <c r="C26" s="63" t="n"/>
      <c r="D26" s="63" t="n"/>
      <c r="E26" s="63" t="n"/>
      <c r="F26" s="63" t="n"/>
      <c r="G26" s="63" t="n"/>
      <c r="H26" s="64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ДАННЫЕ'!$F$33="","—",'ИСХОДНЫЕ ДАННЫЕ'!$F$33)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"&amp;"III квартал "&amp;'ИСХОДНЫЕ ДАННЫЕ'!$C$5&amp;" г."&amp;" — до "&amp;TEXT(DAY(DATE('ИСХОДНЫЕ ДАННЫЕ'!$C$5,9+1,'ИСХОДНЫЕ ДАННЫЕ'!$C$50)),"00")&amp;"."&amp;TEXT(MONTH(DATE('ИСХОДНЫЕ ДАННЫЕ'!$C$5,9+1,'ИСХОДНЫЕ ДАННЫЕ'!$C$50)),"00")&amp;"."&amp;YEAR(DATE('ИСХОДНЫЕ ДАННЫЕ'!$C$5,9+1,'ИСХОДНЫЕ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"&amp;"IV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ДАННЫЕ'!$E$34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"IV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"октябрь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"ноябрь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"декабрь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"IV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61">
        <f>IF('ИСХОДНЫЕ ДАННЫЕ'!$D$34="","",'ИСХОДНЫЕ ДАННЫЕ'!$D$34)</f>
        <v/>
      </c>
      <c r="G25" s="61" t="n"/>
      <c r="H25" s="56">
        <f>'ИСХОДНЫЕ ДАННЫЕ'!$C$34</f>
        <v/>
      </c>
    </row>
    <row r="26" ht="28" customHeight="1">
      <c r="B26" s="62">
        <f>"ИТОГО К ОПЛАТЕ"&amp;IF(ROUND(H24+H25,2)&lt;=0,"      переплата зачтена, оплата за квартал не требуется","")</f>
        <v/>
      </c>
      <c r="C26" s="63" t="n"/>
      <c r="D26" s="63" t="n"/>
      <c r="E26" s="63" t="n"/>
      <c r="F26" s="63" t="n"/>
      <c r="G26" s="63" t="n"/>
      <c r="H26" s="64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ДАННЫЕ'!$F$34="","—",'ИСХОДНЫЕ ДАННЫЕ'!$F$34)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"&amp;"IV квартал "&amp;'ИСХОДНЫЕ ДАННЫЕ'!$C$5&amp;" г."&amp;" — до "&amp;TEXT(DAY(DATE('ИСХОДНЫЕ ДАННЫЕ'!$C$5,12+1,'ИСХОДНЫЕ ДАННЫЕ'!$C$50)),"00")&amp;"."&amp;TEXT(MONTH(DATE('ИСХОДНЫЕ ДАННЫЕ'!$C$5,12+1,'ИСХОДНЫЕ ДАННЫЕ'!$C$50)),"00")&amp;"."&amp;YEAR(DATE('ИСХОДНЫЕ ДАННЫЕ'!$C$5,12+1,'ИСХОДНЫЕ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ДАННЫЕ'!$C$31,2))&gt;0,"о необходимости оплатить "&amp;IF(INT(INT(ROUND(MAX(0,ROUND(ROUND('ИСХОДНЫЕ ДАННЫЕ'!$C$8*3,2)+'ИСХОДНЫЕ ДАННЫЕ'!$C$31,2)),2))/1000)&gt;0,INT(INT(ROUND(MAX(0,ROUND(ROUND('ИСХОДНЫЕ ДАННЫЕ'!$C$8*3,2)+'ИСХОДНЫЕ ДАННЫЕ'!$C$31,2)),2))/1000)&amp;" "&amp;TEXT((INT(ROUND(MAX(0,ROUND(ROUND('ИСХОДНЫЕ ДАННЫЕ'!$C$8*3,2)+'ИСХОДНЫЕ ДАННЫЕ'!$C$31,2)),2))-INT(INT(ROUND(MAX(0,ROUND(ROUND('ИСХОДНЫЕ ДАННЫЕ'!$C$8*3,2)+'ИСХОДНЫЕ ДАННЫЕ'!$C$31,2)),2))/1000)*1000),"000"),(INT(ROUND(MAX(0,ROUND(ROUND('ИСХОДНЫЕ ДАННЫЕ'!$C$8*3,2)+'ИСХОДНЫЕ ДАННЫЕ'!$C$31,2)),2))-INT(INT(ROUND(MAX(0,ROUND(ROUND('ИСХОДНЫЕ ДАННЫЕ'!$C$8*3,2)+'ИСХОДНЫЕ ДАННЫЕ'!$C$31,2)),2))/1000)*1000)&amp;"")&amp;","&amp;TEXT((ROUND(ROUND(MAX(0,ROUND(ROUND('ИСХОДНЫЕ ДАННЫЕ'!$C$8*3,2)+'ИСХОДНЫЕ ДАННЫЕ'!$C$31,2)),2)*100,0)-INT(ROUND(MAX(0,ROUND(ROUND('ИСХОДНЫЕ ДАННЫЕ'!$C$8*3,2)+'ИСХОДНЫЕ ДАННЫЕ'!$C$31,2)),2))*100),"00")&amp;" руб., в том числе:","о состоянии расчётов за "&amp;"I квартал "&amp;'ИСХОДНЫЕ ДАННЫЕ'!$C$5&amp;" г."&amp;":")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ДАННЫЕ'!$C$31=0,"— задолженности за предыдущие периоды нет.",IF('ИСХОДНЫЕ ДАННЫЕ'!$C$31&lt;0,"— на лицевом счёте числится переплата "&amp;IF(INT(INT(ROUND(-'ИСХОДНЫЕ ДАННЫЕ'!$C$31,2))/1000)&gt;0,INT(INT(ROUND(-'ИСХОДНЫЕ ДАННЫЕ'!$C$31,2))/1000)&amp;" "&amp;TEXT((INT(ROUND(-'ИСХОДНЫЕ ДАННЫЕ'!$C$31,2))-INT(INT(ROUND(-'ИСХОДНЫЕ ДАННЫЕ'!$C$31,2))/1000)*1000),"000"),(INT(ROUND(-'ИСХОДНЫЕ ДАННЫЕ'!$C$31,2))-INT(INT(ROUND(-'ИСХОДНЫЕ ДАННЫЕ'!$C$31,2))/1000)*1000)&amp;"")&amp;","&amp;TEXT((ROUND(ROUND(-'ИСХОДНЫЕ ДАННЫЕ'!$C$31,2)*100,0)-INT(ROUND(-'ИСХОДНЫЕ ДАННЫЕ'!$C$31,2))*100),"00")&amp;" рублей","—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ДАННЫЕ'!$C$31=0,"","("&amp;UPPER(LEFT(IF(INT(INT(ROUND(ABS('ИСХОДНЫЕ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ДАННЫЕ'!$C$31),2))*100)+1),1))&amp;MID(IF(INT(INT(ROUND(ABS('ИСХОДНЫЕ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ДАННЫЕ'!$C$31),2))*100)+1),2,300)&amp;").")</f>
        <v/>
      </c>
      <c r="C14" s="82" t="n"/>
      <c r="D14" s="82" t="n"/>
      <c r="E14" s="82" t="n"/>
      <c r="F14" s="82" t="n"/>
    </row>
    <row r="15" ht="32" customHeight="1">
      <c r="B15" s="81">
        <f>IF(ROUND(ROUND('ИСХОДНЫЕ ДАННЫЕ'!$C$8*3,2)+'ИСХОДНЫЕ ДАННЫЕ'!$C$31,2)&gt;=0,"","С учётом переплаты оплата за "&amp;"I квартал "&amp;'ИСХОДНЫЕ ДАННЫЕ'!$C$5&amp;" г."&amp;" не требуется; остаток переплаты — "&amp;IF(INT(INT(ROUND(-ROUND(ROUND('ИСХОДНЫЕ ДАННЫЕ'!$C$8*3,2)+'ИСХОДНЫЕ ДАННЫЕ'!$C$31,2),2))/1000)&gt;0,INT(INT(ROUND(-ROUND(ROUND('ИСХОДНЫЕ ДАННЫЕ'!$C$8*3,2)+'ИСХОДНЫЕ ДАННЫЕ'!$C$31,2),2))/1000)&amp;" "&amp;TEXT((INT(ROUND(-ROUND(ROUND('ИСХОДНЫЕ ДАННЫЕ'!$C$8*3,2)+'ИСХОДНЫЕ ДАННЫЕ'!$C$31,2),2))-INT(INT(ROUND(-ROUND(ROUND('ИСХОДНЫЕ ДАННЫЕ'!$C$8*3,2)+'ИСХОДНЫЕ ДАННЫЕ'!$C$31,2),2))/1000)*1000),"000"),(INT(ROUND(-ROUND(ROUND('ИСХОДНЫЕ ДАННЫЕ'!$C$8*3,2)+'ИСХОДНЫЕ ДАННЫЕ'!$C$31,2),2))-INT(INT(ROUND(-ROUND(ROUND('ИСХОДНЫЕ ДАННЫЕ'!$C$8*3,2)+'ИСХОДНЫЕ ДАННЫЕ'!$C$31,2),2))/1000)*1000)&amp;"")&amp;","&amp;TEXT((ROUND(ROUND(-ROUND(ROUND('ИСХОДНЫЕ ДАННЫЕ'!$C$8*3,2)+'ИСХОДНЫЕ ДАННЫЕ'!$C$31,2),2)*100,0)-INT(ROUND(-ROUND(ROUND('ИСХОДНЫЕ ДАННЫЕ'!$C$8*3,2)+'ИСХОДНЫЕ ДАННЫЕ'!$C$31,2),2))*100),"00")&amp;" руб.")</f>
        <v/>
      </c>
      <c r="C15" s="81" t="n"/>
      <c r="D15" s="81" t="n"/>
      <c r="E15" s="81" t="n"/>
      <c r="F15" s="81" t="n"/>
    </row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"&amp;"март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ДАННЫЕ'!$C$32,2))&gt;0,"о необходимости оплатить "&amp;IF(INT(INT(ROUND(MAX(0,ROUND(ROUND('ИСХОДНЫЕ ДАННЫЕ'!$C$8*3,2)+'ИСХОДНЫЕ ДАННЫЕ'!$C$32,2)),2))/1000)&gt;0,INT(INT(ROUND(MAX(0,ROUND(ROUND('ИСХОДНЫЕ ДАННЫЕ'!$C$8*3,2)+'ИСХОДНЫЕ ДАННЫЕ'!$C$32,2)),2))/1000)&amp;" "&amp;TEXT((INT(ROUND(MAX(0,ROUND(ROUND('ИСХОДНЫЕ ДАННЫЕ'!$C$8*3,2)+'ИСХОДНЫЕ ДАННЫЕ'!$C$32,2)),2))-INT(INT(ROUND(MAX(0,ROUND(ROUND('ИСХОДНЫЕ ДАННЫЕ'!$C$8*3,2)+'ИСХОДНЫЕ ДАННЫЕ'!$C$32,2)),2))/1000)*1000),"000"),(INT(ROUND(MAX(0,ROUND(ROUND('ИСХОДНЫЕ ДАННЫЕ'!$C$8*3,2)+'ИСХОДНЫЕ ДАННЫЕ'!$C$32,2)),2))-INT(INT(ROUND(MAX(0,ROUND(ROUND('ИСХОДНЫЕ ДАННЫЕ'!$C$8*3,2)+'ИСХОДНЫЕ ДАННЫЕ'!$C$32,2)),2))/1000)*1000)&amp;"")&amp;","&amp;TEXT((ROUND(ROUND(MAX(0,ROUND(ROUND('ИСХОДНЫЕ ДАННЫЕ'!$C$8*3,2)+'ИСХОДНЫЕ ДАННЫЕ'!$C$32,2)),2)*100,0)-INT(ROUND(MAX(0,ROUND(ROUND('ИСХОДНЫЕ ДАННЫЕ'!$C$8*3,2)+'ИСХОДНЫЕ ДАННЫЕ'!$C$32,2)),2))*100),"00")&amp;" руб., в том числе:","о состоянии расчётов за "&amp;"II квартал "&amp;'ИСХОДНЫЕ ДАННЫЕ'!$C$5&amp;" г."&amp;":")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ДАННЫЕ'!$C$32=0,"— задолженности за предыдущие периоды нет.",IF('ИСХОДНЫЕ ДАННЫЕ'!$C$32&lt;0,"— на лицевом счёте числится переплата "&amp;IF(INT(INT(ROUND(-'ИСХОДНЫЕ ДАННЫЕ'!$C$32,2))/1000)&gt;0,INT(INT(ROUND(-'ИСХОДНЫЕ ДАННЫЕ'!$C$32,2))/1000)&amp;" "&amp;TEXT((INT(ROUND(-'ИСХОДНЫЕ ДАННЫЕ'!$C$32,2))-INT(INT(ROUND(-'ИСХОДНЫЕ ДАННЫЕ'!$C$32,2))/1000)*1000),"000"),(INT(ROUND(-'ИСХОДНЫЕ ДАННЫЕ'!$C$32,2))-INT(INT(ROUND(-'ИСХОДНЫЕ ДАННЫЕ'!$C$32,2))/1000)*1000)&amp;"")&amp;","&amp;TEXT((ROUND(ROUND(-'ИСХОДНЫЕ ДАННЫЕ'!$C$32,2)*100,0)-INT(ROUND(-'ИСХОДНЫЕ ДАННЫЕ'!$C$32,2))*100),"00")&amp;" рублей","—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ДАННЫЕ'!$C$32=0,"","("&amp;UPPER(LEFT(IF(INT(INT(ROUND(ABS('ИСХОДНЫЕ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ДАННЫЕ'!$C$32),2))*100)+1),1))&amp;MID(IF(INT(INT(ROUND(ABS('ИСХОДНЫЕ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ДАННЫЕ'!$C$32),2))*100)+1),2,300)&amp;").")</f>
        <v/>
      </c>
      <c r="C14" s="82" t="n"/>
      <c r="D14" s="82" t="n"/>
      <c r="E14" s="82" t="n"/>
      <c r="F14" s="82" t="n"/>
    </row>
    <row r="15" ht="32" customHeight="1">
      <c r="B15" s="81">
        <f>IF(ROUND(ROUND('ИСХОДНЫЕ ДАННЫЕ'!$C$8*3,2)+'ИСХОДНЫЕ ДАННЫЕ'!$C$32,2)&gt;=0,"","С учётом переплаты оплата за "&amp;"II квартал "&amp;'ИСХОДНЫЕ ДАННЫЕ'!$C$5&amp;" г."&amp;" не требуется; остаток переплаты — "&amp;IF(INT(INT(ROUND(-ROUND(ROUND('ИСХОДНЫЕ ДАННЫЕ'!$C$8*3,2)+'ИСХОДНЫЕ ДАННЫЕ'!$C$32,2),2))/1000)&gt;0,INT(INT(ROUND(-ROUND(ROUND('ИСХОДНЫЕ ДАННЫЕ'!$C$8*3,2)+'ИСХОДНЫЕ ДАННЫЕ'!$C$32,2),2))/1000)&amp;" "&amp;TEXT((INT(ROUND(-ROUND(ROUND('ИСХОДНЫЕ ДАННЫЕ'!$C$8*3,2)+'ИСХОДНЫЕ ДАННЫЕ'!$C$32,2),2))-INT(INT(ROUND(-ROUND(ROUND('ИСХОДНЫЕ ДАННЫЕ'!$C$8*3,2)+'ИСХОДНЫЕ ДАННЫЕ'!$C$32,2),2))/1000)*1000),"000"),(INT(ROUND(-ROUND(ROUND('ИСХОДНЫЕ ДАННЫЕ'!$C$8*3,2)+'ИСХОДНЫЕ ДАННЫЕ'!$C$32,2),2))-INT(INT(ROUND(-ROUND(ROUND('ИСХОДНЫЕ ДАННЫЕ'!$C$8*3,2)+'ИСХОДНЫЕ ДАННЫЕ'!$C$32,2),2))/1000)*1000)&amp;"")&amp;","&amp;TEXT((ROUND(ROUND(-ROUND(ROUND('ИСХОДНЫЕ ДАННЫЕ'!$C$8*3,2)+'ИСХОДНЫЕ ДАННЫЕ'!$C$32,2),2)*100,0)-INT(ROUND(-ROUND(ROUND('ИСХОДНЫЕ ДАННЫЕ'!$C$8*3,2)+'ИСХОДНЫЕ ДАННЫЕ'!$C$32,2),2))*100),"00")&amp;" руб.")</f>
        <v/>
      </c>
      <c r="C15" s="81" t="n"/>
      <c r="D15" s="81" t="n"/>
      <c r="E15" s="81" t="n"/>
      <c r="F15" s="81" t="n"/>
    </row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"&amp;"июнь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ДАННЫЕ'!$C$33,2))&gt;0,"о необходимости оплатить "&amp;IF(INT(INT(ROUND(MAX(0,ROUND(ROUND('ИСХОДНЫЕ ДАННЫЕ'!$C$8*3,2)+'ИСХОДНЫЕ ДАННЫЕ'!$C$33,2)),2))/1000)&gt;0,INT(INT(ROUND(MAX(0,ROUND(ROUND('ИСХОДНЫЕ ДАННЫЕ'!$C$8*3,2)+'ИСХОДНЫЕ ДАННЫЕ'!$C$33,2)),2))/1000)&amp;" "&amp;TEXT((INT(ROUND(MAX(0,ROUND(ROUND('ИСХОДНЫЕ ДАННЫЕ'!$C$8*3,2)+'ИСХОДНЫЕ ДАННЫЕ'!$C$33,2)),2))-INT(INT(ROUND(MAX(0,ROUND(ROUND('ИСХОДНЫЕ ДАННЫЕ'!$C$8*3,2)+'ИСХОДНЫЕ ДАННЫЕ'!$C$33,2)),2))/1000)*1000),"000"),(INT(ROUND(MAX(0,ROUND(ROUND('ИСХОДНЫЕ ДАННЫЕ'!$C$8*3,2)+'ИСХОДНЫЕ ДАННЫЕ'!$C$33,2)),2))-INT(INT(ROUND(MAX(0,ROUND(ROUND('ИСХОДНЫЕ ДАННЫЕ'!$C$8*3,2)+'ИСХОДНЫЕ ДАННЫЕ'!$C$33,2)),2))/1000)*1000)&amp;"")&amp;","&amp;TEXT((ROUND(ROUND(MAX(0,ROUND(ROUND('ИСХОДНЫЕ ДАННЫЕ'!$C$8*3,2)+'ИСХОДНЫЕ ДАННЫЕ'!$C$33,2)),2)*100,0)-INT(ROUND(MAX(0,ROUND(ROUND('ИСХОДНЫЕ ДАННЫЕ'!$C$8*3,2)+'ИСХОДНЫЕ ДАННЫЕ'!$C$33,2)),2))*100),"00")&amp;" руб., в том числе:","о состоянии расчётов за "&amp;"III квартал "&amp;'ИСХОДНЫЕ ДАННЫЕ'!$C$5&amp;" г."&amp;":")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ДАННЫЕ'!$C$33=0,"— задолженности за предыдущие периоды нет.",IF('ИСХОДНЫЕ ДАННЫЕ'!$C$33&lt;0,"— на лицевом счёте числится переплата "&amp;IF(INT(INT(ROUND(-'ИСХОДНЫЕ ДАННЫЕ'!$C$33,2))/1000)&gt;0,INT(INT(ROUND(-'ИСХОДНЫЕ ДАННЫЕ'!$C$33,2))/1000)&amp;" "&amp;TEXT((INT(ROUND(-'ИСХОДНЫЕ ДАННЫЕ'!$C$33,2))-INT(INT(ROUND(-'ИСХОДНЫЕ ДАННЫЕ'!$C$33,2))/1000)*1000),"000"),(INT(ROUND(-'ИСХОДНЫЕ ДАННЫЕ'!$C$33,2))-INT(INT(ROUND(-'ИСХОДНЫЕ ДАННЫЕ'!$C$33,2))/1000)*1000)&amp;"")&amp;","&amp;TEXT((ROUND(ROUND(-'ИСХОДНЫЕ ДАННЫЕ'!$C$33,2)*100,0)-INT(ROUND(-'ИСХОДНЫЕ ДАННЫЕ'!$C$33,2))*100),"00")&amp;" рублей","—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ДАННЫЕ'!$C$33=0,"","("&amp;UPPER(LEFT(IF(INT(INT(ROUND(ABS('ИСХОДНЫЕ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ДАННЫЕ'!$C$33),2))*100)+1),1))&amp;MID(IF(INT(INT(ROUND(ABS('ИСХОДНЫЕ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ДАННЫЕ'!$C$33),2))*100)+1),2,300)&amp;").")</f>
        <v/>
      </c>
      <c r="C14" s="82" t="n"/>
      <c r="D14" s="82" t="n"/>
      <c r="E14" s="82" t="n"/>
      <c r="F14" s="82" t="n"/>
    </row>
    <row r="15" ht="32" customHeight="1">
      <c r="B15" s="81">
        <f>IF(ROUND(ROUND('ИСХОДНЫЕ ДАННЫЕ'!$C$8*3,2)+'ИСХОДНЫЕ ДАННЫЕ'!$C$33,2)&gt;=0,"","С учётом переплаты оплата за "&amp;"III квартал "&amp;'ИСХОДНЫЕ ДАННЫЕ'!$C$5&amp;" г."&amp;" не требуется; остаток переплаты — "&amp;IF(INT(INT(ROUND(-ROUND(ROUND('ИСХОДНЫЕ ДАННЫЕ'!$C$8*3,2)+'ИСХОДНЫЕ ДАННЫЕ'!$C$33,2),2))/1000)&gt;0,INT(INT(ROUND(-ROUND(ROUND('ИСХОДНЫЕ ДАННЫЕ'!$C$8*3,2)+'ИСХОДНЫЕ ДАННЫЕ'!$C$33,2),2))/1000)&amp;" "&amp;TEXT((INT(ROUND(-ROUND(ROUND('ИСХОДНЫЕ ДАННЫЕ'!$C$8*3,2)+'ИСХОДНЫЕ ДАННЫЕ'!$C$33,2),2))-INT(INT(ROUND(-ROUND(ROUND('ИСХОДНЫЕ ДАННЫЕ'!$C$8*3,2)+'ИСХОДНЫЕ ДАННЫЕ'!$C$33,2),2))/1000)*1000),"000"),(INT(ROUND(-ROUND(ROUND('ИСХОДНЫЕ ДАННЫЕ'!$C$8*3,2)+'ИСХОДНЫЕ ДАННЫЕ'!$C$33,2),2))-INT(INT(ROUND(-ROUND(ROUND('ИСХОДНЫЕ ДАННЫЕ'!$C$8*3,2)+'ИСХОДНЫЕ ДАННЫЕ'!$C$33,2),2))/1000)*1000)&amp;"")&amp;","&amp;TEXT((ROUND(ROUND(-ROUND(ROUND('ИСХОДНЫЕ ДАННЫЕ'!$C$8*3,2)+'ИСХОДНЫЕ ДАННЫЕ'!$C$33,2),2)*100,0)-INT(ROUND(-ROUND(ROUND('ИСХОДНЫЕ ДАННЫЕ'!$C$8*3,2)+'ИСХОДНЫЕ ДАННЫЕ'!$C$33,2),2))*100),"00")&amp;" руб.")</f>
        <v/>
      </c>
      <c r="C15" s="81" t="n"/>
      <c r="D15" s="81" t="n"/>
      <c r="E15" s="81" t="n"/>
      <c r="F15" s="81" t="n"/>
    </row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"&amp;"сентябрь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"&amp;"III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ДАННЫЕ'!$C$34,2))&gt;0,"о необходимости оплатить "&amp;IF(INT(INT(ROUND(MAX(0,ROUND(ROUND('ИСХОДНЫЕ ДАННЫЕ'!$C$8*3,2)+'ИСХОДНЫЕ ДАННЫЕ'!$C$34,2)),2))/1000)&gt;0,INT(INT(ROUND(MAX(0,ROUND(ROUND('ИСХОДНЫЕ ДАННЫЕ'!$C$8*3,2)+'ИСХОДНЫЕ ДАННЫЕ'!$C$34,2)),2))/1000)&amp;" "&amp;TEXT((INT(ROUND(MAX(0,ROUND(ROUND('ИСХОДНЫЕ ДАННЫЕ'!$C$8*3,2)+'ИСХОДНЫЕ ДАННЫЕ'!$C$34,2)),2))-INT(INT(ROUND(MAX(0,ROUND(ROUND('ИСХОДНЫЕ ДАННЫЕ'!$C$8*3,2)+'ИСХОДНЫЕ ДАННЫЕ'!$C$34,2)),2))/1000)*1000),"000"),(INT(ROUND(MAX(0,ROUND(ROUND('ИСХОДНЫЕ ДАННЫЕ'!$C$8*3,2)+'ИСХОДНЫЕ ДАННЫЕ'!$C$34,2)),2))-INT(INT(ROUND(MAX(0,ROUND(ROUND('ИСХОДНЫЕ ДАННЫЕ'!$C$8*3,2)+'ИСХОДНЫЕ ДАННЫЕ'!$C$34,2)),2))/1000)*1000)&amp;"")&amp;","&amp;TEXT((ROUND(ROUND(MAX(0,ROUND(ROUND('ИСХОДНЫЕ ДАННЫЕ'!$C$8*3,2)+'ИСХОДНЫЕ ДАННЫЕ'!$C$34,2)),2)*100,0)-INT(ROUND(MAX(0,ROUND(ROUND('ИСХОДНЫЕ ДАННЫЕ'!$C$8*3,2)+'ИСХОДНЫЕ ДАННЫЕ'!$C$34,2)),2))*100),"00")&amp;" руб., в том числе:","о состоянии расчётов за "&amp;"IV квартал "&amp;'ИСХОДНЫЕ ДАННЫЕ'!$C$5&amp;" г."&amp;":")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ДАННЫЕ'!$C$34=0,"— задолженности за предыдущие периоды нет.",IF('ИСХОДНЫЕ ДАННЫЕ'!$C$34&lt;0,"— на лицевом счёте числится переплата "&amp;IF(INT(INT(ROUND(-'ИСХОДНЫЕ ДАННЫЕ'!$C$34,2))/1000)&gt;0,INT(INT(ROUND(-'ИСХОДНЫЕ ДАННЫЕ'!$C$34,2))/1000)&amp;" "&amp;TEXT((INT(ROUND(-'ИСХОДНЫЕ ДАННЫЕ'!$C$34,2))-INT(INT(ROUND(-'ИСХОДНЫЕ ДАННЫЕ'!$C$34,2))/1000)*1000),"000"),(INT(ROUND(-'ИСХОДНЫЕ ДАННЫЕ'!$C$34,2))-INT(INT(ROUND(-'ИСХОДНЫЕ ДАННЫЕ'!$C$34,2))/1000)*1000)&amp;"")&amp;","&amp;TEXT((ROUND(ROUND(-'ИСХОДНЫЕ ДАННЫЕ'!$C$34,2)*100,0)-INT(ROUND(-'ИСХОДНЫЕ ДАННЫЕ'!$C$34,2))*100),"00")&amp;" рублей","— задолженность "&amp;IF('ИСХОДНЫЕ ДАННЫЕ'!$D$34="","за предыдущие периоды",'ИСХОДНЫЕ ДАННЫЕ'!$D$34)&amp;" в размере "&amp;IF(INT(INT(ROUND('ИСХОДНЫЕ ДАННЫЕ'!$C$34,2))/1000)&gt;0,INT(INT(ROUND('ИСХОДНЫЕ ДАННЫЕ'!$C$34,2))/1000)&amp;" "&amp;TEXT((INT(ROUND('ИСХОДНЫЕ ДАННЫЕ'!$C$34,2))-INT(INT(ROUND('ИСХОДНЫЕ ДАННЫЕ'!$C$34,2))/1000)*1000),"000"),(INT(ROUND('ИСХОДНЫЕ ДАННЫЕ'!$C$34,2))-INT(INT(ROUND('ИСХОДНЫЕ ДАННЫЕ'!$C$34,2))/1000)*1000)&amp;"")&amp;","&amp;TEXT((ROUND(ROUND('ИСХОДНЫЕ ДАННЫЕ'!$C$34,2)*100,0)-INT(ROUND('ИСХОДНЫЕ ДАННЫЕ'!$C$34,2))*100),"00")&amp;" рублей"))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ДАННЫЕ'!$C$34=0,"","("&amp;UPPER(LEFT(IF(INT(INT(ROUND(ABS('ИСХОДНЫЕ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ДАННЫЕ'!$C$34),2))*100)+1),1))&amp;MID(IF(INT(INT(ROUND(ABS('ИСХОДНЫЕ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ДАННЫЕ'!$C$34),2))*100)+1),2,300)&amp;").")</f>
        <v/>
      </c>
      <c r="C14" s="82" t="n"/>
      <c r="D14" s="82" t="n"/>
      <c r="E14" s="82" t="n"/>
      <c r="F14" s="82" t="n"/>
    </row>
    <row r="15" ht="32" customHeight="1">
      <c r="B15" s="81">
        <f>IF(ROUND(ROUND('ИСХОДНЫЕ ДАННЫЕ'!$C$8*3,2)+'ИСХОДНЫЕ ДАННЫЕ'!$C$34,2)&gt;=0,"","С учётом переплаты оплата за "&amp;"IV квартал "&amp;'ИСХОДНЫЕ ДАННЫЕ'!$C$5&amp;" г."&amp;" не требуется; остаток переплаты — "&amp;IF(INT(INT(ROUND(-ROUND(ROUND('ИСХОДНЫЕ ДАННЫЕ'!$C$8*3,2)+'ИСХОДНЫЕ ДАННЫЕ'!$C$34,2),2))/1000)&gt;0,INT(INT(ROUND(-ROUND(ROUND('ИСХОДНЫЕ ДАННЫЕ'!$C$8*3,2)+'ИСХОДНЫЕ ДАННЫЕ'!$C$34,2),2))/1000)&amp;" "&amp;TEXT((INT(ROUND(-ROUND(ROUND('ИСХОДНЫЕ ДАННЫЕ'!$C$8*3,2)+'ИСХОДНЫЕ ДАННЫЕ'!$C$34,2),2))-INT(INT(ROUND(-ROUND(ROUND('ИСХОДНЫЕ ДАННЫЕ'!$C$8*3,2)+'ИСХОДНЫЕ ДАННЫЕ'!$C$34,2),2))/1000)*1000),"000"),(INT(ROUND(-ROUND(ROUND('ИСХОДНЫЕ ДАННЫЕ'!$C$8*3,2)+'ИСХОДНЫЕ ДАННЫЕ'!$C$34,2),2))-INT(INT(ROUND(-ROUND(ROUND('ИСХОДНЫЕ ДАННЫЕ'!$C$8*3,2)+'ИСХОДНЫЕ ДАННЫЕ'!$C$34,2),2))/1000)*1000)&amp;"")&amp;","&amp;TEXT((ROUND(ROUND(-ROUND(ROUND('ИСХОДНЫЕ ДАННЫЕ'!$C$8*3,2)+'ИСХОДНЫЕ ДАННЫЕ'!$C$34,2),2)*100,0)-INT(ROUND(-ROUND(ROUND('ИСХОДНЫЕ ДАННЫЕ'!$C$8*3,2)+'ИСХОДНЫЕ ДАННЫЕ'!$C$34,2),2))*100),"00")&amp;" руб.")</f>
        <v/>
      </c>
      <c r="C15" s="81" t="n"/>
      <c r="D15" s="81" t="n"/>
      <c r="E15" s="81" t="n"/>
      <c r="F15" s="81" t="n"/>
    </row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ДАННЫЕ'!$E$34),"00")&amp;"."&amp;TEXT(MONTH('ИСХОДНЫЕ ДАННЫЕ'!$E$34),"00")&amp;"."&amp;YEAR('ИСХОДНЫЕ ДАННЫЕ'!$E$34)&amp;" и с учётом начислений по "&amp;"декабрь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ДАННЫЕ'!$E$34),"00")&amp;"."&amp;TEXT(MONTH('ИСХОДНЫЕ ДАННЫЕ'!$E$34),"00")&amp;"."&amp;YEAR('ИСХОДНЫЕ ДАННЫЕ'!$E$34)&amp;"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"&amp;"IV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4" t="inlineStr">
        <is>
          <t>КВАРТАЛЬНЫЕ КВИТАНЦИИ И ПИСЬМА — КАК ПОЛЬЗОВАТЬСЯ</t>
        </is>
      </c>
    </row>
    <row r="2" ht="8" customHeight="1">
      <c r="A2" s="85" t="inlineStr"/>
    </row>
    <row r="3" ht="22" customHeight="1">
      <c r="A3" s="86" t="inlineStr">
        <is>
          <t>1. Где вводить данные</t>
        </is>
      </c>
    </row>
    <row r="4" ht="32" customHeight="1">
      <c r="A4" s="87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7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7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5" t="inlineStr"/>
    </row>
    <row r="8" ht="22" customHeight="1">
      <c r="A8" s="86" t="inlineStr">
        <is>
          <t>2. Задолженность по кварталам</t>
        </is>
      </c>
    </row>
    <row r="9" ht="32" customHeight="1">
      <c r="A9" s="87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7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5" t="inlineStr"/>
    </row>
    <row r="12" ht="22" customHeight="1">
      <c r="A12" s="86" t="inlineStr">
        <is>
          <t>3. Сопроводительное письмо</t>
        </is>
      </c>
    </row>
    <row r="13" ht="32" customHeight="1">
      <c r="A13" s="87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7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5" t="inlineStr"/>
    </row>
    <row r="16" ht="22" customHeight="1">
      <c r="A16" s="86" t="inlineStr">
        <is>
          <t>4. Печать</t>
        </is>
      </c>
    </row>
    <row r="17" ht="32" customHeight="1">
      <c r="A17" s="87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7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5" t="inlineStr"/>
    </row>
    <row r="20" ht="22" customHeight="1">
      <c r="A20" s="86" t="inlineStr">
        <is>
          <t>5. Что проверить</t>
        </is>
      </c>
    </row>
    <row r="21" ht="32" customHeight="1">
      <c r="A21" s="87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7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7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2026-10-06T04:12:12Z</dcterms:created>
  <dcterms:modified xsi:type="dcterms:W3CDTF">2026-10-06T04:12:12Z</dcterms:modified>
</cp:coreProperties>
</file>