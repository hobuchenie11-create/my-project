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ВИТАНЦИЯ" sheetId="1" state="visible" r:id="rId1"/>
    <sheet name="НАСТРОЙКИ" sheetId="2" state="visible" r:id="rId2"/>
    <sheet name="ДАННЫЕ" sheetId="3" state="visible" r:id="rId3"/>
    <sheet name="СХЕМА" sheetId="4" state="hidden" r:id="rId4"/>
    <sheet name="ИНСТРУКЦИЯ" sheetId="5" state="visible" r:id="rId5"/>
  </sheets>
  <definedNames>
    <definedName name="КВ_ЛС">КВИТАНЦИЯ!$C$14</definedName>
    <definedName name="КВ_КВАРТИРА">КВИТАНЦИЯ!$E$14</definedName>
    <definedName name="КВ_ДАТА">КВИТАНЦИЯ!$G$14</definedName>
    <definedName name="КВ_ФИО">КВИТАНЦИЯ!$C$15</definedName>
    <definedName name="КВ_АДРЕС">КВИТАНЦИЯ!$C$16</definedName>
    <definedName name="КВ_ПЛОЩАДЬ">КВИТАНЦИЯ!$C$17</definedName>
    <definedName name="КВ_ТАРИФ">КВИТАНЦИЯ!$E$17</definedName>
    <definedName name="КВ_ПЕРИОД">КВИТАНЦИЯ!$G$17</definedName>
    <definedName name="КВ_НАЧИСЛЕНО">КВИТАНЦИЯ!$H$21</definedName>
    <definedName name="КВ_ДОЛГ">КВИТАНЦИЯ!$H$22</definedName>
    <definedName name="КВ_ПЕРЕРАСЧЕТ">КВИТАНЦИЯ!$H$23</definedName>
    <definedName name="КВ_ИТОГО">КВИТАНЦИЯ!$H$24</definedName>
    <definedName name="КВ_ОПЛАЧЕНО">КВИТАНЦИЯ!$G$27</definedName>
    <definedName name="КВ_НАКОПЛЕНО">КВИТАНЦИЯ!$G$28</definedName>
    <definedName name="КВ_ОСТАТОК">КВИТАНЦИЯ!$G$29</definedName>
    <definedName name="КВ_QR_МЕСТО">КВИТАНЦИЯ!$G$32</definedName>
    <definedName name="КВ_QR">НАСТРОЙКИ!$B$20</definedName>
    <definedName name="КВ_СХЕМА">НАСТРОЙКИ!$B$17</definedName>
    <definedName name="ДАННЫЕ_ТАБЛИЦА">ДАННЫЕ!$A$1:$Q$5000</definedName>
    <definedName name="_xlnm.Print_Area" localSheetId="0">'КВИТАНЦИЯ'!$A$1:$I$43</definedName>
    <definedName name="_xlnm._FilterDatabase" localSheetId="2" hidden="1">'ДАННЫЕ'!$A$1:$Q$1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000000"/>
      <sz val="14"/>
    </font>
    <font>
      <name val="Arial"/>
      <i val="1"/>
      <color rgb="00000000"/>
      <sz val="8"/>
    </font>
    <font>
      <name val="Arial"/>
      <b val="1"/>
      <color rgb="000F6B70"/>
      <sz val="13"/>
    </font>
    <font>
      <name val="Arial"/>
      <b val="1"/>
      <color rgb="00263238"/>
      <sz val="11"/>
    </font>
  </fonts>
  <fills count="8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/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BFBFBF"/>
      </patternFill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left" vertical="center" indent="1"/>
    </xf>
    <xf numFmtId="0" fontId="8" fillId="4" borderId="4" applyAlignment="1" pivotButton="0" quotePrefix="0" xfId="0">
      <alignment horizontal="left" vertical="center" indent="1"/>
    </xf>
    <xf numFmtId="0" fontId="8" fillId="4" borderId="4" applyAlignment="1" pivotButton="0" quotePrefix="0" xfId="0">
      <alignment horizontal="right" vertical="center" indent="1"/>
    </xf>
    <xf numFmtId="0" fontId="8" fillId="4" borderId="5" applyAlignment="1" pivotButton="0" quotePrefix="0" xfId="0">
      <alignment horizontal="right" vertical="center" indent="1"/>
    </xf>
    <xf numFmtId="0" fontId="8" fillId="5" borderId="6" applyAlignment="1" pivotButton="0" quotePrefix="0" xfId="0">
      <alignment horizontal="left" vertical="center" indent="1"/>
    </xf>
    <xf numFmtId="0" fontId="8" fillId="5" borderId="7" applyAlignment="1" pivotButton="0" quotePrefix="0" xfId="0">
      <alignment horizontal="left" vertical="center" indent="1"/>
    </xf>
    <xf numFmtId="0" fontId="8" fillId="5" borderId="8" applyAlignment="1" pivotButton="0" quotePrefix="0" xfId="0">
      <alignment horizontal="left" vertical="center" indent="1"/>
    </xf>
    <xf numFmtId="0" fontId="9" fillId="6" borderId="9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wrapText="1" indent="1"/>
    </xf>
    <xf numFmtId="0" fontId="8" fillId="4" borderId="10" applyAlignment="1" pivotButton="0" quotePrefix="0" xfId="0">
      <alignment horizontal="left" vertical="center" wrapText="1" indent="1"/>
    </xf>
    <xf numFmtId="0" fontId="9" fillId="6" borderId="9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0" fillId="4" borderId="1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11" fillId="4" borderId="10" applyAlignment="1" pivotButton="0" quotePrefix="0" xfId="0">
      <alignment horizontal="left" vertical="center" indent="1"/>
    </xf>
    <xf numFmtId="0" fontId="9" fillId="6" borderId="11" applyAlignment="1" pivotButton="0" quotePrefix="0" xfId="0">
      <alignment horizontal="left" vertical="center" indent="1"/>
    </xf>
    <xf numFmtId="0" fontId="10" fillId="4" borderId="12" applyAlignment="1" pivotButton="0" quotePrefix="0" xfId="0">
      <alignment horizontal="left" vertical="center" indent="1"/>
    </xf>
    <xf numFmtId="0" fontId="9" fillId="6" borderId="12" applyAlignment="1" pivotButton="0" quotePrefix="0" xfId="0">
      <alignment horizontal="left" vertical="center" indent="1"/>
    </xf>
    <xf numFmtId="0" fontId="10" fillId="4" borderId="13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 indent="1"/>
    </xf>
    <xf numFmtId="165" fontId="13" fillId="4" borderId="1" applyAlignment="1" pivotButton="0" quotePrefix="0" xfId="0">
      <alignment horizontal="center" vertical="center"/>
    </xf>
    <xf numFmtId="165" fontId="13" fillId="4" borderId="10" applyAlignment="1" pivotButton="0" quotePrefix="0" xfId="0">
      <alignment horizontal="center" vertical="center"/>
    </xf>
    <xf numFmtId="0" fontId="9" fillId="6" borderId="11" applyAlignment="1" pivotButton="0" quotePrefix="0" xfId="0">
      <alignment horizontal="left" vertical="center" wrapText="1" indent="1"/>
    </xf>
    <xf numFmtId="166" fontId="11" fillId="4" borderId="12" applyAlignment="1" pivotButton="0" quotePrefix="0" xfId="0">
      <alignment horizontal="center" vertical="center"/>
    </xf>
    <xf numFmtId="0" fontId="9" fillId="6" borderId="12" applyAlignment="1" pivotButton="0" quotePrefix="0" xfId="0">
      <alignment horizontal="left" vertical="center" wrapText="1" indent="1"/>
    </xf>
    <xf numFmtId="4" fontId="11" fillId="4" borderId="12" applyAlignment="1" pivotButton="0" quotePrefix="0" xfId="0">
      <alignment horizontal="center" vertical="center"/>
    </xf>
    <xf numFmtId="0" fontId="11" fillId="4" borderId="12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0" applyAlignment="1" pivotButton="0" quotePrefix="0" xfId="0">
      <alignment horizontal="center" vertical="center"/>
    </xf>
    <xf numFmtId="0" fontId="10" fillId="4" borderId="9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4" fontId="11" fillId="4" borderId="10" applyAlignment="1" pivotButton="0" quotePrefix="0" xfId="0">
      <alignment horizontal="right" vertical="center" indent="1"/>
    </xf>
    <xf numFmtId="0" fontId="7" fillId="3" borderId="11" applyAlignment="1" pivotButton="0" quotePrefix="0" xfId="0">
      <alignment horizontal="left" vertical="center" indent="1"/>
    </xf>
    <xf numFmtId="0" fontId="7" fillId="3" borderId="12" applyAlignment="1" pivotButton="0" quotePrefix="0" xfId="0">
      <alignment horizontal="left" vertical="center" indent="1"/>
    </xf>
    <xf numFmtId="4" fontId="14" fillId="4" borderId="2" applyAlignment="1" pivotButton="0" quotePrefix="0" xfId="0">
      <alignment horizontal="right" vertical="center" indent="1"/>
    </xf>
    <xf numFmtId="4" fontId="11" fillId="4" borderId="1" applyAlignment="1" pivotButton="0" quotePrefix="0" xfId="0">
      <alignment horizontal="right" vertical="center" indent="1"/>
    </xf>
    <xf numFmtId="0" fontId="10" fillId="4" borderId="11" applyAlignment="1" pivotButton="0" quotePrefix="0" xfId="0">
      <alignment horizontal="left" vertical="center" indent="1"/>
    </xf>
    <xf numFmtId="4" fontId="11" fillId="4" borderId="12" applyAlignment="1" pivotButton="0" quotePrefix="0" xfId="0">
      <alignment horizontal="right" vertical="center" indent="1"/>
    </xf>
    <xf numFmtId="4" fontId="11" fillId="4" borderId="13" applyAlignment="1" pivotButton="0" quotePrefix="0" xfId="0">
      <alignment horizontal="right" vertical="center" indent="1"/>
    </xf>
    <xf numFmtId="0" fontId="10" fillId="4" borderId="9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center" vertical="center" wrapText="1"/>
    </xf>
    <xf numFmtId="0" fontId="8" fillId="4" borderId="10" applyAlignment="1" pivotButton="0" quotePrefix="0" xfId="0">
      <alignment horizontal="center" vertical="center" wrapText="1"/>
    </xf>
    <xf numFmtId="0" fontId="8" fillId="6" borderId="11" applyAlignment="1" pivotButton="0" quotePrefix="0" xfId="0">
      <alignment horizontal="center" vertical="center"/>
    </xf>
    <xf numFmtId="0" fontId="8" fillId="6" borderId="12" applyAlignment="1" pivotButton="0" quotePrefix="0" xfId="0">
      <alignment horizontal="center" vertical="center"/>
    </xf>
    <xf numFmtId="0" fontId="8" fillId="4" borderId="12" applyAlignment="1" pivotButton="0" quotePrefix="0" xfId="0">
      <alignment horizontal="center" vertical="center" wrapText="1"/>
    </xf>
    <xf numFmtId="0" fontId="8" fillId="4" borderId="13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vertical="center" wrapText="1"/>
    </xf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4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" t="n"/>
      <c r="D2" s="1" t="n"/>
      <c r="E2" s="1" t="n"/>
      <c r="F2" s="1" t="n"/>
      <c r="G2" s="1" t="n"/>
      <c r="H2" s="1" t="n"/>
    </row>
    <row r="3" ht="20" customHeight="1">
      <c r="B3" s="2">
        <f>"Специальный счёт МКД · "&amp;НАСТРОЙКИ!$B$12</f>
        <v/>
      </c>
      <c r="C3" s="3" t="n"/>
      <c r="D3" s="3" t="n"/>
      <c r="E3" s="3" t="n"/>
      <c r="F3" s="4">
        <f>"Расчётный период: "&amp;IF(IFERROR(INDEX(ДАННЫЕ!$N:$N,MATCH(КВ_ЛС,ДАННЫЕ!$A:$A,0)),"")="",НАСТРОЙКИ!$B$14,INDEX(ДАННЫЕ!$N:$N,MATCH(КВ_ЛС,ДАННЫЕ!$A:$A,0)))</f>
        <v/>
      </c>
      <c r="G3" s="4" t="n"/>
      <c r="H3" s="5" t="n"/>
    </row>
    <row r="4" ht="5" customHeight="1"/>
    <row r="5" ht="16" customHeight="1">
      <c r="B5" s="6" t="inlineStr">
        <is>
          <t>1. ПОЛУЧАТЕЛЬ ПЛАТЕЖА — ВЛАДЕЛЕЦ СПЕЦИАЛЬНОГО СЧЁТА</t>
        </is>
      </c>
      <c r="C5" s="7" t="n"/>
      <c r="D5" s="7" t="n"/>
      <c r="E5" s="7" t="n"/>
      <c r="F5" s="7" t="n"/>
      <c r="G5" s="7" t="n"/>
      <c r="H5" s="8" t="n"/>
    </row>
    <row r="6" ht="26" customHeight="1">
      <c r="B6" s="9" t="inlineStr">
        <is>
          <t>Получатель платежа</t>
        </is>
      </c>
      <c r="C6" s="10">
        <f>НАСТРОЙКИ!$B$2</f>
        <v/>
      </c>
      <c r="D6" s="10" t="n"/>
      <c r="E6" s="10" t="n"/>
      <c r="F6" s="10" t="n"/>
      <c r="G6" s="10" t="n"/>
      <c r="H6" s="11" t="n"/>
    </row>
    <row r="7" ht="14" customHeight="1">
      <c r="B7" s="12" t="inlineStr">
        <is>
          <t>Юридический адрес</t>
        </is>
      </c>
      <c r="C7" s="13">
        <f>НАСТРОЙКИ!$B$3</f>
        <v/>
      </c>
      <c r="D7" s="13" t="n"/>
      <c r="E7" s="13" t="n"/>
      <c r="F7" s="13" t="n"/>
      <c r="G7" s="13" t="n"/>
      <c r="H7" s="14" t="n"/>
    </row>
    <row r="8" ht="14" customHeight="1">
      <c r="B8" s="12" t="inlineStr">
        <is>
          <t>ИНН / КПП</t>
        </is>
      </c>
      <c r="C8" s="13">
        <f>НАСТРОЙКИ!$B$4&amp;" / "&amp;НАСТРОЙКИ!$B$5</f>
        <v/>
      </c>
      <c r="D8" s="13" t="n"/>
      <c r="E8" s="15" t="inlineStr">
        <is>
          <t>ОГРН</t>
        </is>
      </c>
      <c r="F8" s="13">
        <f>НАСТРОЙКИ!$B$6</f>
        <v/>
      </c>
      <c r="G8" s="13" t="n"/>
      <c r="H8" s="14" t="n"/>
    </row>
    <row r="9" ht="16" customHeight="1">
      <c r="B9" s="12" t="inlineStr">
        <is>
          <t>Расчётный счёт</t>
        </is>
      </c>
      <c r="C9" s="16">
        <f>НАСТРОЙКИ!$B$7&amp;"   (специальный счёт МКД: "&amp;НАСТРОЙКИ!$B$12&amp;")"</f>
        <v/>
      </c>
      <c r="D9" s="16" t="n"/>
      <c r="E9" s="16" t="n"/>
      <c r="F9" s="16" t="n"/>
      <c r="G9" s="16" t="n"/>
      <c r="H9" s="17" t="n"/>
    </row>
    <row r="10" ht="14" customHeight="1">
      <c r="B10" s="12" t="inlineStr">
        <is>
          <t>Банк</t>
        </is>
      </c>
      <c r="C10" s="13">
        <f>НАСТРОЙКИ!$B$8</f>
        <v/>
      </c>
      <c r="D10" s="13" t="n"/>
      <c r="E10" s="13" t="n"/>
      <c r="F10" s="13" t="n"/>
      <c r="G10" s="13" t="n"/>
      <c r="H10" s="14" t="n"/>
    </row>
    <row r="11" ht="14" customHeight="1">
      <c r="B11" s="18" t="inlineStr">
        <is>
          <t>Корр. счёт / БИК</t>
        </is>
      </c>
      <c r="C11" s="19">
        <f>НАСТРОЙКИ!$B$9&amp;" / "&amp;НАСТРОЙКИ!$B$10</f>
        <v/>
      </c>
      <c r="D11" s="19" t="n"/>
      <c r="E11" s="20" t="inlineStr">
        <is>
          <t>ИНН/КПП банка</t>
        </is>
      </c>
      <c r="F11" s="19">
        <f>НАСТРОЙКИ!$B$11</f>
        <v/>
      </c>
      <c r="G11" s="19" t="n"/>
      <c r="H11" s="21" t="n"/>
    </row>
    <row r="12" ht="5" customHeight="1"/>
    <row r="13" ht="16" customHeight="1">
      <c r="B13" s="6" t="inlineStr">
        <is>
          <t>2. ПЛАТЕЛЬЩИК И ПОМЕЩЕНИЕ</t>
        </is>
      </c>
      <c r="C13" s="7" t="n"/>
      <c r="D13" s="7" t="n"/>
      <c r="E13" s="7" t="n"/>
      <c r="F13" s="7" t="n"/>
      <c r="G13" s="7" t="n"/>
      <c r="H13" s="8" t="n"/>
    </row>
    <row r="14" ht="19" customHeight="1">
      <c r="B14" s="12" t="inlineStr">
        <is>
          <t>Лицевой счёт</t>
        </is>
      </c>
      <c r="C14" s="22" t="n">
        <v>31202</v>
      </c>
      <c r="D14" s="15" t="inlineStr">
        <is>
          <t>Квартира №</t>
        </is>
      </c>
      <c r="E14" s="23">
        <f>IFERROR(INDEX(ДАННЫЕ!$B:$B,MATCH(КВ_ЛС,ДАННЫЕ!$A:$A,0)),"")</f>
        <v/>
      </c>
      <c r="F14" s="24" t="inlineStr">
        <is>
          <t>Дата формирования</t>
        </is>
      </c>
      <c r="G14" s="25">
        <f>TODAY()</f>
        <v/>
      </c>
      <c r="H14" s="26" t="n"/>
    </row>
    <row r="15" ht="17" customHeight="1">
      <c r="B15" s="12" t="inlineStr">
        <is>
          <t>Плательщик</t>
        </is>
      </c>
      <c r="C15" s="16">
        <f>IFERROR(INDEX(ДАННЫЕ!$C:$C,MATCH(КВ_ЛС,ДАННЫЕ!$A:$A,0)),"")</f>
        <v/>
      </c>
      <c r="D15" s="16" t="n"/>
      <c r="E15" s="16" t="n"/>
      <c r="F15" s="16" t="n"/>
      <c r="G15" s="16" t="n"/>
      <c r="H15" s="17" t="n"/>
    </row>
    <row r="16" ht="16" customHeight="1">
      <c r="B16" s="12" t="inlineStr">
        <is>
          <t>Адрес помещения</t>
        </is>
      </c>
      <c r="C16" s="13">
        <f>IFERROR(INDEX(ДАННЫЕ!$D:$D,MATCH(КВ_ЛС,ДАННЫЕ!$A:$A,0)),"")</f>
        <v/>
      </c>
      <c r="D16" s="13" t="n"/>
      <c r="E16" s="13" t="n"/>
      <c r="F16" s="13" t="n"/>
      <c r="G16" s="13" t="n"/>
      <c r="H16" s="14" t="n"/>
    </row>
    <row r="17" ht="20" customHeight="1">
      <c r="B17" s="27" t="inlineStr">
        <is>
          <t>Площадь помещения, м²</t>
        </is>
      </c>
      <c r="C17" s="28">
        <f>IFERROR(INDEX(ДАННЫЕ!$E:$E,MATCH(КВ_ЛС,ДАННЫЕ!$A:$A,0)),0)</f>
        <v/>
      </c>
      <c r="D17" s="29" t="inlineStr">
        <is>
          <t>Размер взноса, руб./м²</t>
        </is>
      </c>
      <c r="E17" s="30">
        <f>IF(IFERROR(INDEX(ДАННЫЕ!$F:$F,MATCH(КВ_ЛС,ДАННЫЕ!$A:$A,0)),"")="",IFERROR(ROUND(INDEX(ДАННЫЕ!$G:$G,MATCH(КВ_ЛС,ДАННЫЕ!$A:$A,0))/INDEX(ДАННЫЕ!$E:$E,MATCH(КВ_ЛС,ДАННЫЕ!$A:$A,0)),2),"—"),INDEX(ДАННЫЕ!$F:$F,MATCH(КВ_ЛС,ДАННЫЕ!$A:$A,0)))</f>
        <v/>
      </c>
      <c r="F17" s="20" t="inlineStr">
        <is>
          <t>Период оплаты</t>
        </is>
      </c>
      <c r="G17" s="31">
        <f>IF(IFERROR(INDEX(ДАННЫЕ!$N:$N,MATCH(КВ_ЛС,ДАННЫЕ!$A:$A,0)),"")="",НАСТРОЙКИ!$B$14,INDEX(ДАННЫЕ!$N:$N,MATCH(КВ_ЛС,ДАННЫЕ!$A:$A,0)))</f>
        <v/>
      </c>
      <c r="H17" s="32" t="n"/>
    </row>
    <row r="18" ht="5" customHeight="1"/>
    <row r="19" ht="16" customHeight="1">
      <c r="B19" s="6" t="inlineStr">
        <is>
          <t>3. РАСЧЁТ РАЗМЕРА ВЗНОСА И СУММЫ К ОПЛАТЕ</t>
        </is>
      </c>
      <c r="C19" s="7" t="n"/>
      <c r="D19" s="7" t="n"/>
      <c r="E19" s="7" t="n"/>
      <c r="F19" s="7" t="n"/>
      <c r="G19" s="7" t="n"/>
      <c r="H19" s="8" t="n"/>
    </row>
    <row r="20" ht="18" customHeight="1">
      <c r="B20" s="33" t="inlineStr">
        <is>
          <t>Вид платежа</t>
        </is>
      </c>
      <c r="C20" s="34" t="n"/>
      <c r="D20" s="34" t="n"/>
      <c r="E20" s="34" t="n"/>
      <c r="F20" s="34" t="inlineStr">
        <is>
          <t>Расчётный период</t>
        </is>
      </c>
      <c r="G20" s="34" t="n"/>
      <c r="H20" s="35" t="inlineStr">
        <is>
          <t>Сумма, руб.</t>
        </is>
      </c>
    </row>
    <row r="21" ht="17" customHeight="1">
      <c r="B21" s="36" t="inlineStr">
        <is>
          <t>Начислено за расчётный период (площадь × размер взноса)</t>
        </is>
      </c>
      <c r="C21" s="13" t="n"/>
      <c r="D21" s="13" t="n"/>
      <c r="E21" s="13" t="n"/>
      <c r="F21" s="37">
        <f>IF(IFERROR(INDEX(ДАННЫЕ!$N:$N,MATCH(КВ_ЛС,ДАННЫЕ!$A:$A,0)),"")="",НАСТРОЙКИ!$B$14,INDEX(ДАННЫЕ!$N:$N,MATCH(КВ_ЛС,ДАННЫЕ!$A:$A,0)))</f>
        <v/>
      </c>
      <c r="G21" s="37" t="n"/>
      <c r="H21" s="38">
        <f>IFERROR(INDEX(ДАННЫЕ!$G:$G,MATCH(КВ_ЛС,ДАННЫЕ!$A:$A,0)),0)</f>
        <v/>
      </c>
    </row>
    <row r="22" ht="17" customHeight="1">
      <c r="B22" s="36" t="inlineStr">
        <is>
          <t>Задолженность за предыдущие периоды</t>
        </is>
      </c>
      <c r="C22" s="13" t="n"/>
      <c r="D22" s="13" t="n"/>
      <c r="E22" s="13" t="n"/>
      <c r="F22" s="37">
        <f>"на "&amp;TEXT(DAY(IF(IFERROR(INDEX(ДАННЫЕ!$O:$O,MATCH(КВ_ЛС,ДАННЫЕ!$A:$A,0)),"")="",НАСТРОЙКИ!$B$15,INDEX(ДАННЫЕ!$O:$O,MATCH(КВ_ЛС,ДАННЫЕ!$A:$A,0)))),"00")&amp;"."&amp;TEXT(MONTH(IF(IFERROR(INDEX(ДАННЫЕ!$O:$O,MATCH(КВ_ЛС,ДАННЫЕ!$A:$A,0)),"")="",НАСТРОЙКИ!$B$15,INDEX(ДАННЫЕ!$O:$O,MATCH(КВ_ЛС,ДАННЫЕ!$A:$A,0)))),"00")&amp;"."&amp;YEAR(IF(IFERROR(INDEX(ДАННЫЕ!$O:$O,MATCH(КВ_ЛС,ДАННЫЕ!$A:$A,0)),"")="",НАСТРОЙКИ!$B$15,INDEX(ДАННЫЕ!$O:$O,MATCH(КВ_ЛС,ДАННЫЕ!$A:$A,0))))</f>
        <v/>
      </c>
      <c r="G22" s="37" t="n"/>
      <c r="H22" s="38">
        <f>IFERROR(INDEX(ДАННЫЕ!$H:$H,MATCH(КВ_ЛС,ДАННЫЕ!$A:$A,0)),0)</f>
        <v/>
      </c>
    </row>
    <row r="23" ht="17" customHeight="1">
      <c r="B23" s="36" t="inlineStr">
        <is>
          <t>Перерасчёты / переплата (уменьшают сумму к оплате)</t>
        </is>
      </c>
      <c r="C23" s="13" t="n"/>
      <c r="D23" s="13" t="n"/>
      <c r="E23" s="13" t="n"/>
      <c r="F23" s="37" t="n"/>
      <c r="G23" s="37" t="n"/>
      <c r="H23" s="38">
        <f>IFERROR(INDEX(ДАННЫЕ!$I:$I,MATCH(КВ_ЛС,ДАННЫЕ!$A:$A,0)),0)</f>
        <v/>
      </c>
    </row>
    <row r="24" ht="28" customHeight="1">
      <c r="B24" s="39" t="inlineStr">
        <is>
          <t>ИТОГО К ОПЛАТЕ</t>
        </is>
      </c>
      <c r="C24" s="40" t="n"/>
      <c r="D24" s="40" t="n"/>
      <c r="E24" s="40" t="n"/>
      <c r="F24" s="40" t="n"/>
      <c r="G24" s="40" t="n"/>
      <c r="H24" s="41">
        <f>IF(IFERROR(INDEX(ДАННЫЕ!$J:$J,MATCH(КВ_ЛС,ДАННЫЕ!$A:$A,0)),"")="",ROUND(H21+H22+H23,2),INDEX(ДАННЫЕ!$J:$J,MATCH(КВ_ЛС,ДАННЫЕ!$A:$A,0)))</f>
        <v/>
      </c>
    </row>
    <row r="25" ht="5" customHeight="1"/>
    <row r="26" ht="16" customHeight="1">
      <c r="B26" s="6" t="inlineStr">
        <is>
          <t>4. СПРАВОЧНАЯ ИНФОРМАЦИЯ ПО СПЕЦИАЛЬНОМУ СЧЁТУ (ч. 7 ст. 177 ЖК РФ)</t>
        </is>
      </c>
      <c r="C26" s="7" t="n"/>
      <c r="D26" s="7" t="n"/>
      <c r="E26" s="7" t="n"/>
      <c r="F26" s="7" t="n"/>
      <c r="G26" s="7" t="n"/>
      <c r="H26" s="8" t="n"/>
    </row>
    <row r="27" ht="15" customHeight="1">
      <c r="B27" s="36">
        <f>"Поступило оплат по лицевому счёту с начала "&amp;YEAR(IF(IFERROR(INDEX(ДАННЫЕ!$O:$O,MATCH(КВ_ЛС,ДАННЫЕ!$A:$A,0)),"")="",НАСТРОЙКИ!$B$15,INDEX(ДАННЫЕ!$O:$O,MATCH(КВ_ЛС,ДАННЫЕ!$A:$A,0))))&amp;" года, руб."</f>
        <v/>
      </c>
      <c r="C27" s="13" t="n"/>
      <c r="D27" s="13" t="n"/>
      <c r="E27" s="13" t="n"/>
      <c r="F27" s="13" t="n"/>
      <c r="G27" s="42">
        <f>IFERROR(INDEX(ДАННЫЕ!$K:$K,MATCH(КВ_ЛС,ДАННЫЕ!$A:$A,0)),0)</f>
        <v/>
      </c>
      <c r="H27" s="38" t="n"/>
    </row>
    <row r="28" ht="15" customHeight="1">
      <c r="B28" s="36" t="inlineStr">
        <is>
          <t>Размер фонда капитального ремонта, накопленного по лицевому счёту, руб.</t>
        </is>
      </c>
      <c r="C28" s="13" t="n"/>
      <c r="D28" s="13" t="n"/>
      <c r="E28" s="13" t="n"/>
      <c r="F28" s="13" t="n"/>
      <c r="G28" s="42">
        <f>IF(IFERROR(INDEX(ДАННЫЕ!$M:$M,MATCH(КВ_ЛС,ДАННЫЕ!$A:$A,0)),"")="","—",INDEX(ДАННЫЕ!$M:$M,MATCH(КВ_ЛС,ДАННЫЕ!$A:$A,0)))</f>
        <v/>
      </c>
      <c r="H28" s="38" t="n"/>
    </row>
    <row r="29" ht="15" customHeight="1">
      <c r="B29" s="43" t="inlineStr">
        <is>
          <t>Остаток средств на специальном счёте многоквартирного дома, руб.</t>
        </is>
      </c>
      <c r="C29" s="19" t="n"/>
      <c r="D29" s="19" t="n"/>
      <c r="E29" s="19" t="n"/>
      <c r="F29" s="19" t="n"/>
      <c r="G29" s="44">
        <f>IF(IFERROR(INDEX(ДАННЫЕ!$L:$L,MATCH(КВ_ЛС,ДАННЫЕ!$A:$A,0)),"")="","—",INDEX(ДАННЫЕ!$L:$L,MATCH(КВ_ЛС,ДАННЫЕ!$A:$A,0)))</f>
        <v/>
      </c>
      <c r="H29" s="45" t="n"/>
    </row>
    <row r="30" ht="5" customHeight="1"/>
    <row r="31" ht="16" customHeight="1">
      <c r="B31" s="6" t="inlineStr">
        <is>
          <t>5. ПОРЯДОК ОПЛАТЫ</t>
        </is>
      </c>
      <c r="C31" s="7" t="n"/>
      <c r="D31" s="7" t="n"/>
      <c r="E31" s="7" t="n"/>
      <c r="F31" s="7" t="n"/>
      <c r="G31" s="7" t="n"/>
      <c r="H31" s="8" t="n"/>
    </row>
    <row r="32" ht="14" customHeight="1">
      <c r="B32" s="46" t="inlineStr">
        <is>
          <t>1) без комиссии — в отделениях АО «Россельхозбанк» (банк, в котором открыт специальный счёт дома);</t>
        </is>
      </c>
      <c r="C32" s="47" t="n"/>
      <c r="D32" s="47" t="n"/>
      <c r="E32" s="47" t="n"/>
      <c r="F32" s="47" t="n"/>
      <c r="G32" s="48" t="n"/>
      <c r="H32" s="49" t="n"/>
    </row>
    <row r="33" ht="26" customHeight="1">
      <c r="B33" s="46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47" t="n"/>
      <c r="D33" s="47" t="n"/>
      <c r="E33" s="47" t="n"/>
      <c r="F33" s="47" t="n"/>
      <c r="G33" s="48" t="n"/>
      <c r="H33" s="49" t="n"/>
    </row>
    <row r="34" ht="14" customHeight="1">
      <c r="B34" s="46" t="n"/>
      <c r="C34" s="47" t="n"/>
      <c r="D34" s="47" t="n"/>
      <c r="E34" s="47" t="n"/>
      <c r="F34" s="47" t="n"/>
      <c r="G34" s="48" t="n"/>
      <c r="H34" s="49" t="n"/>
    </row>
    <row r="35" ht="14" customHeight="1">
      <c r="B35" s="12" t="inlineStr">
        <is>
          <t>Назначение платежа:</t>
        </is>
      </c>
      <c r="C35" s="15" t="n"/>
      <c r="D35" s="15" t="n"/>
      <c r="E35" s="15" t="n"/>
      <c r="F35" s="15" t="n"/>
      <c r="G35" s="48" t="n"/>
      <c r="H35" s="49" t="n"/>
    </row>
    <row r="36" ht="30" customHeight="1">
      <c r="B36" s="46">
        <f>"Взнос на капитальный ремонт, л/с № "&amp;КВ_ЛС&amp;", кв. № "&amp;IFERROR(INDEX(ДАННЫЕ!$B:$B,MATCH(КВ_ЛС,ДАННЫЕ!$A:$A,0)),"")&amp;", за "&amp;IF(IFERROR(INDEX(ДАННЫЕ!$N:$N,MATCH(КВ_ЛС,ДАННЫЕ!$A:$A,0)),"")="",НАСТРОЙКИ!$B$14,INDEX(ДАННЫЕ!$N:$N,MATCH(КВ_ЛС,ДАННЫЕ!$A:$A,0)))&amp;"."</f>
        <v/>
      </c>
      <c r="C36" s="47" t="n"/>
      <c r="D36" s="47" t="n"/>
      <c r="E36" s="47" t="n"/>
      <c r="F36" s="47" t="n"/>
      <c r="G36" s="48" t="n"/>
      <c r="H36" s="49" t="n"/>
    </row>
    <row r="37" ht="17" customHeight="1">
      <c r="B37" s="50">
        <f>"Срок оплаты: до "&amp;TEXT(DAY(IF(IFERROR(INDEX(ДАННЫЕ!$P:$P,MATCH(КВ_ЛС,ДАННЫЕ!$A:$A,0)),"")="",НАСТРОЙКИ!$B$16,INDEX(ДАННЫЕ!$P:$P,MATCH(КВ_ЛС,ДАННЫЕ!$A:$A,0)))),"00")&amp;"."&amp;TEXT(MONTH(IF(IFERROR(INDEX(ДАННЫЕ!$P:$P,MATCH(КВ_ЛС,ДАННЫЕ!$A:$A,0)),"")="",НАСТРОЙКИ!$B$16,INDEX(ДАННЫЕ!$P:$P,MATCH(КВ_ЛС,ДАННЫЕ!$A:$A,0)))),"00")&amp;"."&amp;YEAR(IF(IFERROR(INDEX(ДАННЫЕ!$P:$P,MATCH(КВ_ЛС,ДАННЫЕ!$A:$A,0)),"")="",НАСТРОЙКИ!$B$16,INDEX(ДАННЫЕ!$P:$P,MATCH(КВ_ЛС,ДАННЫЕ!$A:$A,0))))&amp;" г."</f>
        <v/>
      </c>
      <c r="C37" s="51" t="n"/>
      <c r="D37" s="51" t="n"/>
      <c r="E37" s="51" t="n"/>
      <c r="F37" s="51" t="n"/>
      <c r="G37" s="52" t="n"/>
      <c r="H37" s="53" t="n"/>
    </row>
    <row r="38" ht="5" customHeight="1"/>
    <row r="39" ht="30" customHeight="1">
      <c r="B39" s="54">
        <f>"ВНИМАНИЕ! ПЛАТИТЕ ТОЛЬКО ПО НОМЕРУ РАСЧЁТНОГО СЧЁТА "&amp;НАСТРОЙКИ!$B$7&amp;" — ЭТО СПЕЦИАЛЬНЫЙ СЧЁТ ВАШЕГО ДОМА"</f>
        <v/>
      </c>
      <c r="C39" s="54" t="n"/>
      <c r="D39" s="54" t="n"/>
      <c r="E39" s="54" t="n"/>
      <c r="F39" s="54" t="n"/>
      <c r="G39" s="54" t="n"/>
      <c r="H39" s="54" t="n"/>
    </row>
    <row r="40" ht="44" customHeight="1">
      <c r="B40" s="55">
        <f>"В отделении банка и в мобильном приложении выбирайте оплату по реквизитам — вкладку «Специальный счёт». Не платите через поиск «Капитальный ремонт»: такой платёж уходит на общий счёт Регионального фонда капитального ремонта и на счёт вашего дома не поступает."&amp;CHAR(10)&amp;"Лицевой счёт № "&amp;КВ_ЛС&amp;" при оплате НЕ вводится — он указан справочно, только для учёта начислений."</f>
        <v/>
      </c>
      <c r="C40" s="55" t="n"/>
      <c r="D40" s="55" t="n"/>
      <c r="E40" s="55" t="n"/>
      <c r="F40" s="55" t="n"/>
      <c r="G40" s="55" t="n"/>
      <c r="H40" s="55" t="n"/>
    </row>
    <row r="41" ht="6" customHeight="1"/>
    <row r="42" ht="24" customHeight="1">
      <c r="B42" s="56" t="inlineStr">
        <is>
          <t>Подпись плательщика  ______________________</t>
        </is>
      </c>
      <c r="C42" s="56" t="n"/>
      <c r="D42" s="56" t="n"/>
      <c r="E42" s="56" t="inlineStr">
        <is>
          <t>Кассир  ______________</t>
        </is>
      </c>
      <c r="F42" s="56" t="n"/>
      <c r="G42" s="56" t="inlineStr">
        <is>
          <t>Дата  ____________</t>
        </is>
      </c>
      <c r="H42" s="56" t="n"/>
    </row>
    <row r="43" ht="22" customHeight="1">
      <c r="B43" s="57">
        <f>"По вопросам начислений обращайтесь к председателю совета дома, тел. "&amp;НАСТРОЙКИ!$B$13&amp;".    Документ № "&amp;IF(IFERROR(INDEX(ДАННЫЕ!$Q:$Q,MATCH(КВ_ЛС,ДАННЫЕ!$A:$A,0)),"")="","—",INDEX(ДАННЫЕ!$Q:$Q,MATCH(КВ_ЛС,ДАННЫЕ!$A:$A,0)))</f>
        <v/>
      </c>
      <c r="C43" s="57" t="n"/>
      <c r="D43" s="57" t="n"/>
      <c r="E43" s="57" t="n"/>
      <c r="F43" s="57" t="n"/>
      <c r="G43" s="57" t="n"/>
      <c r="H43" s="57" t="n"/>
    </row>
  </sheetData>
  <mergeCells count="48">
    <mergeCell ref="B42:D42"/>
    <mergeCell ref="C10:H10"/>
    <mergeCell ref="C16:H16"/>
    <mergeCell ref="B40:H40"/>
    <mergeCell ref="C9:H9"/>
    <mergeCell ref="G42:H42"/>
    <mergeCell ref="G27:H27"/>
    <mergeCell ref="F8:H8"/>
    <mergeCell ref="E42:F42"/>
    <mergeCell ref="B20:E20"/>
    <mergeCell ref="B5:H5"/>
    <mergeCell ref="G17:H17"/>
    <mergeCell ref="B27:F27"/>
    <mergeCell ref="F21:G21"/>
    <mergeCell ref="B26:H26"/>
    <mergeCell ref="F20:G20"/>
    <mergeCell ref="G28:H28"/>
    <mergeCell ref="B3:E3"/>
    <mergeCell ref="C7:H7"/>
    <mergeCell ref="B22:E22"/>
    <mergeCell ref="B31:H31"/>
    <mergeCell ref="B24:G24"/>
    <mergeCell ref="B29:F29"/>
    <mergeCell ref="B34:F34"/>
    <mergeCell ref="G32:H37"/>
    <mergeCell ref="C11:D11"/>
    <mergeCell ref="B28:F28"/>
    <mergeCell ref="B43:H43"/>
    <mergeCell ref="B21:E21"/>
    <mergeCell ref="F23:G23"/>
    <mergeCell ref="B37:F37"/>
    <mergeCell ref="B39:H39"/>
    <mergeCell ref="B2:H2"/>
    <mergeCell ref="G14:H14"/>
    <mergeCell ref="F22:G22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35:F35"/>
  </mergeCells>
  <dataValidations count="1">
    <dataValidation sqref="C14" showDropDown="0" showInputMessage="0" showErrorMessage="0" allowBlank="1" promptTitle="Лицевой счёт" prompt="Выберите лицевой счёт из листа ДАННЫЕ" type="list">
      <formula1>=ДАННЫЕ!$A$2:$A$5000</formula1>
    </dataValidation>
  </dataValidations>
  <printOptions horizontalCentered="1"/>
  <pageMargins left="0.24" right="0.24" top="0.2" bottom="0.2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48" customWidth="1" min="3" max="3"/>
  </cols>
  <sheetData>
    <row r="1">
      <c r="A1" s="58" t="inlineStr">
        <is>
          <t>Параметр</t>
        </is>
      </c>
      <c r="B1" s="58" t="inlineStr">
        <is>
          <t>Значение</t>
        </is>
      </c>
      <c r="C1" s="58" t="inlineStr">
        <is>
          <t>Примечание</t>
        </is>
      </c>
    </row>
    <row r="2">
      <c r="A2" s="59" t="inlineStr">
        <is>
          <t>Получатель платежа</t>
        </is>
      </c>
      <c r="B2" s="60" t="inlineStr">
        <is>
          <t>РЕГИОНАЛЬНЫЙ ФОНД КАПИТАЛЬНОГО РЕМОНТА МНОГОКВАРТИРНЫХ ДОМОВ ОМСКОЙ ОБЛАСТИ (СПЕЦ. СЧЕТ)</t>
        </is>
      </c>
      <c r="C2" s="61" t="inlineStr">
        <is>
          <t>Владелец специального счёта МКД</t>
        </is>
      </c>
    </row>
    <row r="3">
      <c r="A3" s="59" t="inlineStr">
        <is>
          <t>Юридический адрес</t>
        </is>
      </c>
      <c r="B3" s="60" t="inlineStr">
        <is>
          <t>644099, г. Омск, ул. Краснофлотская, 24</t>
        </is>
      </c>
      <c r="C3" s="61" t="inlineStr">
        <is>
          <t>Из образца</t>
        </is>
      </c>
    </row>
    <row r="4">
      <c r="A4" s="59" t="inlineStr">
        <is>
          <t>ИНН</t>
        </is>
      </c>
      <c r="B4" s="60" t="inlineStr">
        <is>
          <t>5503239348</t>
        </is>
      </c>
      <c r="C4" s="61" t="inlineStr">
        <is>
          <t>Из образца</t>
        </is>
      </c>
    </row>
    <row r="5">
      <c r="A5" s="59" t="inlineStr">
        <is>
          <t>КПП</t>
        </is>
      </c>
      <c r="B5" s="60" t="inlineStr">
        <is>
          <t>550301001</t>
        </is>
      </c>
      <c r="C5" s="61" t="inlineStr">
        <is>
          <t>Из образца</t>
        </is>
      </c>
    </row>
    <row r="6">
      <c r="A6" s="59" t="inlineStr">
        <is>
          <t>ОГРН</t>
        </is>
      </c>
      <c r="B6" s="60" t="inlineStr">
        <is>
          <t>1027700342890</t>
        </is>
      </c>
      <c r="C6" s="61" t="inlineStr">
        <is>
          <t>Из образца</t>
        </is>
      </c>
    </row>
    <row r="7">
      <c r="A7" s="59" t="inlineStr">
        <is>
          <t>Расчётный счёт (спец. счёт МКД)</t>
        </is>
      </c>
      <c r="B7" s="60" t="inlineStr">
        <is>
          <t>40604810809000000154</t>
        </is>
      </c>
      <c r="C7" s="61" t="inlineStr">
        <is>
          <t>Специальный счёт дома по ул. Магистральная, 2</t>
        </is>
      </c>
    </row>
    <row r="8">
      <c r="A8" s="59" t="inlineStr">
        <is>
          <t>Банк</t>
        </is>
      </c>
      <c r="B8" s="60" t="inlineStr">
        <is>
          <t>Омский РФ АО «Россельхозбанк»</t>
        </is>
      </c>
      <c r="C8" s="61" t="inlineStr">
        <is>
          <t>Из образца</t>
        </is>
      </c>
    </row>
    <row r="9">
      <c r="A9" s="59" t="inlineStr">
        <is>
          <t>Корреспондентский счёт</t>
        </is>
      </c>
      <c r="B9" s="60" t="inlineStr">
        <is>
          <t>30101810900000000822</t>
        </is>
      </c>
      <c r="C9" s="61" t="inlineStr">
        <is>
          <t>Из образца</t>
        </is>
      </c>
    </row>
    <row r="10">
      <c r="A10" s="59" t="inlineStr">
        <is>
          <t>БИК</t>
        </is>
      </c>
      <c r="B10" s="60" t="inlineStr">
        <is>
          <t>045209822</t>
        </is>
      </c>
      <c r="C10" s="61" t="inlineStr">
        <is>
          <t>Из образца</t>
        </is>
      </c>
    </row>
    <row r="11">
      <c r="A11" s="59" t="inlineStr">
        <is>
          <t>ИНН/КПП банка</t>
        </is>
      </c>
      <c r="B11" s="60" t="inlineStr">
        <is>
          <t>7725114488 / 550502001</t>
        </is>
      </c>
      <c r="C11" s="61" t="inlineStr">
        <is>
          <t>Из образца</t>
        </is>
      </c>
    </row>
    <row r="12">
      <c r="A12" s="59" t="inlineStr">
        <is>
          <t>Адрес МКД</t>
        </is>
      </c>
      <c r="B12" s="60" t="inlineStr">
        <is>
          <t>г. Омск, ул. Магистральная, 2</t>
        </is>
      </c>
      <c r="C12" s="61" t="inlineStr">
        <is>
          <t>Из образца</t>
        </is>
      </c>
    </row>
    <row r="13">
      <c r="A13" s="59" t="inlineStr">
        <is>
          <t>Контактный телефон</t>
        </is>
      </c>
      <c r="B13" s="60" t="inlineStr">
        <is>
          <t>8 908 108 02 00</t>
        </is>
      </c>
      <c r="C13" s="61" t="inlineStr">
        <is>
          <t>Председатель совета дома</t>
        </is>
      </c>
    </row>
    <row r="14">
      <c r="A14" s="59" t="inlineStr">
        <is>
          <t>Расчётный период (текст)</t>
        </is>
      </c>
      <c r="B14" s="60" t="inlineStr">
        <is>
          <t>Июль 2026</t>
        </is>
      </c>
      <c r="C14" s="61" t="inlineStr">
        <is>
          <t>Подставляется в заголовок и в назначение платежа</t>
        </is>
      </c>
    </row>
    <row r="15">
      <c r="A15" s="59" t="inlineStr">
        <is>
          <t>Дата начала периода</t>
        </is>
      </c>
      <c r="B15" s="62" t="n">
        <v>46204</v>
      </c>
      <c r="C15" s="61" t="inlineStr">
        <is>
          <t>Первое число расчётного месяца</t>
        </is>
      </c>
    </row>
    <row r="16">
      <c r="A16" s="59" t="inlineStr">
        <is>
          <t>Срок оплаты</t>
        </is>
      </c>
      <c r="B16" s="62" t="n">
        <v>46244</v>
      </c>
      <c r="C16" s="61" t="inlineStr">
        <is>
          <t>До какого числа вносится взнос</t>
        </is>
      </c>
    </row>
    <row r="17">
      <c r="A17" s="59" t="inlineStr">
        <is>
          <t>Текущая цветовая схема</t>
        </is>
      </c>
      <c r="B17" s="60" t="inlineStr">
        <is>
          <t>ЧБ</t>
        </is>
      </c>
      <c r="C17" s="61" t="inlineStr">
        <is>
          <t>ЧБ — для печати на А4; ЦВЕТ — для выгрузки в PDF. Переключается макросом</t>
        </is>
      </c>
    </row>
    <row r="20" ht="64" customHeight="1">
      <c r="A20" s="63" t="inlineStr">
        <is>
          <t>Строка QR (ГОСТ Р 56042-2014)</t>
        </is>
      </c>
      <c r="B20" s="64">
        <f>"ST00012|Name="&amp;НАСТРОЙКИ!$B$2&amp;"|PersonalAcc="&amp;НАСТРОЙКИ!$B$7&amp;"|BankName="&amp;НАСТРОЙКИ!$B$8&amp;"|BIC="&amp;НАСТРОЙКИ!$B$10&amp;"|CorrespAcc="&amp;НАСТРОЙКИ!$B$9&amp;"|PayeeINN="&amp;НАСТРОЙКИ!$B$4&amp;"|KPP="&amp;НАСТРОЙКИ!$B$5&amp;"|Sum="&amp;TEXT(ROUND(КВ_ИТОГО*100,0),"0")&amp;"|Purpose=Взнос на капитальный ремонт за "&amp;НАСТРОЙКИ!$B$14&amp;", л/с "&amp;КВ_ЛС&amp;"|PersAcc="&amp;КВ_ЛС&amp;"|PayerAddress="&amp;КВ_АДРЕС</f>
        <v/>
      </c>
      <c r="C20" s="65" t="inlineStr">
        <is>
          <t>Сумма — в копейках, как требует стандарт. Значение читается макросом (функция СтрокаQR) и передаётся в генератор QR-кода.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8" customWidth="1" min="4" max="4"/>
    <col width="12" customWidth="1" min="5" max="5"/>
    <col width="18" customWidth="1" min="6" max="6"/>
    <col width="20" customWidth="1" min="7" max="7"/>
    <col width="26" customWidth="1" min="8" max="8"/>
    <col width="22" customWidth="1" min="9" max="9"/>
    <col width="18" customWidth="1" min="10" max="10"/>
    <col width="22" customWidth="1" min="11" max="11"/>
    <col width="24" customWidth="1" min="12" max="12"/>
    <col width="26" customWidth="1" min="13" max="13"/>
    <col width="20" customWidth="1" min="14" max="14"/>
    <col width="18" customWidth="1" min="15" max="15"/>
    <col width="14" customWidth="1" min="16" max="16"/>
    <col width="18" customWidth="1" min="17" max="17"/>
  </cols>
  <sheetData>
    <row r="1" ht="34" customHeight="1">
      <c r="A1" s="66" t="inlineStr">
        <is>
          <t>Лицевой счёт</t>
        </is>
      </c>
      <c r="B1" s="66" t="inlineStr">
        <is>
          <t>Квартира</t>
        </is>
      </c>
      <c r="C1" s="66" t="inlineStr">
        <is>
          <t>ФИО собственника</t>
        </is>
      </c>
      <c r="D1" s="66" t="inlineStr">
        <is>
          <t>Адрес помещения</t>
        </is>
      </c>
      <c r="E1" s="66" t="inlineStr">
        <is>
          <t>Площадь, м²</t>
        </is>
      </c>
      <c r="F1" s="66" t="inlineStr">
        <is>
          <t>Размер взноса, руб./м²</t>
        </is>
      </c>
      <c r="G1" s="66" t="inlineStr">
        <is>
          <t>Начислено за период, руб.</t>
        </is>
      </c>
      <c r="H1" s="66" t="inlineStr">
        <is>
          <t>Задолженность на начало периода, руб.</t>
        </is>
      </c>
      <c r="I1" s="66" t="inlineStr">
        <is>
          <t>Перерасчёт / переплата, руб.</t>
        </is>
      </c>
      <c r="J1" s="66" t="inlineStr">
        <is>
          <t>ИТОГО к оплате, руб.</t>
        </is>
      </c>
      <c r="K1" s="66" t="inlineStr">
        <is>
          <t>Оплачено с начала года, руб.</t>
        </is>
      </c>
      <c r="L1" s="66" t="inlineStr">
        <is>
          <t>Остаток на спец. счёте МКД, руб.</t>
        </is>
      </c>
      <c r="M1" s="66" t="inlineStr">
        <is>
          <t>Накоплено по лицевому счёту, руб.</t>
        </is>
      </c>
      <c r="N1" s="66" t="inlineStr">
        <is>
          <t>Расчётный период (текст)</t>
        </is>
      </c>
      <c r="O1" s="66" t="inlineStr">
        <is>
          <t>Дата начала периода</t>
        </is>
      </c>
      <c r="P1" s="66" t="inlineStr">
        <is>
          <t>Срок оплаты</t>
        </is>
      </c>
      <c r="Q1" s="66" t="inlineStr">
        <is>
          <t>№ квитанции</t>
        </is>
      </c>
    </row>
    <row r="2">
      <c r="A2" s="67" t="n">
        <v>31202</v>
      </c>
      <c r="B2" s="67" t="n">
        <v>49</v>
      </c>
      <c r="C2" s="67" t="inlineStr">
        <is>
          <t>Иванов Иван Иванович</t>
        </is>
      </c>
      <c r="D2" s="67" t="inlineStr">
        <is>
          <t>г. Омск, ул. Магистральная, 2, кв. 49</t>
        </is>
      </c>
      <c r="E2" s="68" t="n">
        <v>63.1</v>
      </c>
      <c r="F2" s="69" t="n"/>
      <c r="G2" s="69" t="n">
        <v>674.99</v>
      </c>
      <c r="H2" s="69" t="n">
        <v>19501.38</v>
      </c>
      <c r="I2" s="69" t="n">
        <v>0</v>
      </c>
      <c r="J2" s="69" t="n">
        <v>20176.37</v>
      </c>
      <c r="K2" s="69" t="n">
        <v>13441.28</v>
      </c>
      <c r="L2" s="69" t="n"/>
      <c r="M2" s="69" t="n"/>
      <c r="N2" s="67" t="inlineStr">
        <is>
          <t>Июль 2026</t>
        </is>
      </c>
      <c r="O2" s="70" t="n">
        <v>46204</v>
      </c>
      <c r="P2" s="70" t="n">
        <v>46244</v>
      </c>
      <c r="Q2" s="67" t="inlineStr">
        <is>
          <t>КР-2026-07-31202</t>
        </is>
      </c>
    </row>
    <row r="4">
      <c r="A4" s="71" t="inlineStr">
        <is>
          <t>Строка 2 — пример из образца. Ниже макрос разноски дописывает по одной строке на лицевой счёт за расчётный период. Ключ поиска — столбец A (лицевой счёт): по нему лист КВИТАНЦИЯ подтягивает все значения формулами ИНДЕКС/ПОИСКПОЗ. Столбцы F, J, L, M можно оставить пустыми — бланк рассчитает их сам либо поставит прочерк.</t>
        </is>
      </c>
    </row>
    <row r="5"/>
    <row r="6"/>
  </sheetData>
  <autoFilter ref="A1:Q1"/>
  <mergeCells count="1">
    <mergeCell ref="A4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6" t="inlineStr">
        <is>
          <t>Роль</t>
        </is>
      </c>
      <c r="B1" s="66" t="inlineStr">
        <is>
          <t>Диапазоны (через запятую)</t>
        </is>
      </c>
      <c r="C1" s="66" t="inlineStr">
        <is>
          <t>ЧБ: заливка</t>
        </is>
      </c>
      <c r="D1" s="66" t="inlineStr">
        <is>
          <t>ЧБ: шрифт</t>
        </is>
      </c>
      <c r="E1" s="66" t="inlineStr">
        <is>
          <t>ЦВЕТ: заливка</t>
        </is>
      </c>
      <c r="F1" s="66" t="inlineStr">
        <is>
          <t>ЦВЕТ: шрифт</t>
        </is>
      </c>
    </row>
    <row r="2">
      <c r="A2" s="72" t="inlineStr">
        <is>
          <t>title</t>
        </is>
      </c>
      <c r="B2" s="73" t="inlineStr">
        <is>
          <t>B2:H2</t>
        </is>
      </c>
      <c r="C2" s="72" t="inlineStr">
        <is>
          <t>000000</t>
        </is>
      </c>
      <c r="D2" s="72" t="inlineStr">
        <is>
          <t>FFFFFF</t>
        </is>
      </c>
      <c r="E2" s="72" t="inlineStr">
        <is>
          <t>0F6B70</t>
        </is>
      </c>
      <c r="F2" s="72" t="inlineStr">
        <is>
          <t>FFFFFF</t>
        </is>
      </c>
    </row>
    <row r="3">
      <c r="A3" s="72" t="inlineStr">
        <is>
          <t>subtitle</t>
        </is>
      </c>
      <c r="B3" s="73" t="inlineStr">
        <is>
          <t>B3:E3,F3:H3</t>
        </is>
      </c>
      <c r="C3" s="72" t="inlineStr">
        <is>
          <t>FFFFFF</t>
        </is>
      </c>
      <c r="D3" s="72" t="inlineStr">
        <is>
          <t>000000</t>
        </is>
      </c>
      <c r="E3" s="72" t="inlineStr">
        <is>
          <t>DDEFF0</t>
        </is>
      </c>
      <c r="F3" s="72" t="inlineStr">
        <is>
          <t>0F6B70</t>
        </is>
      </c>
    </row>
    <row r="4">
      <c r="A4" s="72" t="inlineStr">
        <is>
          <t>section</t>
        </is>
      </c>
      <c r="B4" s="73" t="inlineStr">
        <is>
          <t>B5:H5,B13:H13,B19:H19,B26:H26,B31:H31</t>
        </is>
      </c>
      <c r="C4" s="72" t="inlineStr">
        <is>
          <t>D9D9D9</t>
        </is>
      </c>
      <c r="D4" s="72" t="inlineStr">
        <is>
          <t>000000</t>
        </is>
      </c>
      <c r="E4" s="72" t="inlineStr">
        <is>
          <t>0F6B70</t>
        </is>
      </c>
      <c r="F4" s="72" t="inlineStr">
        <is>
          <t>FFFFFF</t>
        </is>
      </c>
    </row>
    <row r="5">
      <c r="A5" s="72" t="inlineStr">
        <is>
          <t>thead</t>
        </is>
      </c>
      <c r="B5" s="73" t="inlineStr">
        <is>
          <t>B20:E20,F20:G20,H20</t>
        </is>
      </c>
      <c r="C5" s="72" t="inlineStr">
        <is>
          <t>BFBFBF</t>
        </is>
      </c>
      <c r="D5" s="72" t="inlineStr">
        <is>
          <t>000000</t>
        </is>
      </c>
      <c r="E5" s="72" t="inlineStr">
        <is>
          <t>263238</t>
        </is>
      </c>
      <c r="F5" s="72" t="inlineStr">
        <is>
          <t>FFFFFF</t>
        </is>
      </c>
    </row>
    <row r="6">
      <c r="A6" s="72" t="inlineStr">
        <is>
          <t>label</t>
        </is>
      </c>
      <c r="B6" s="73" t="inlineStr">
        <is>
          <t>B6,B7,B8,E8,B9,B10,B11,E11,B14,D14,F14,B15,B16,B17,D17,F17,B35:F35</t>
        </is>
      </c>
      <c r="C6" s="72" t="inlineStr">
        <is>
          <t>F2F2F2</t>
        </is>
      </c>
      <c r="D6" s="72" t="inlineStr">
        <is>
          <t>000000</t>
        </is>
      </c>
      <c r="E6" s="72" t="inlineStr">
        <is>
          <t>F3F5F5</t>
        </is>
      </c>
      <c r="F6" s="72" t="inlineStr">
        <is>
          <t>263238</t>
        </is>
      </c>
    </row>
    <row r="7">
      <c r="A7" s="72" t="inlineStr">
        <is>
          <t>value</t>
        </is>
      </c>
      <c r="B7" s="73" t="inlineStr">
        <is>
          <t>C6:H6,C7:H7,C8:D8,F8:H8,C9:H9,C10:H10,C11:D11,F11:H11,E14,G14:H14,C15:H15,C16:H16,C17,E17,G17:H17,B21:E21,F21:G21,H21,B22:E22,F22:G22,H22,B23:E23,F23:G23,H23,B27:F27,G27:H27,B28:F28,G28:H28,B29:F29,G29:H29,B32:F32,B33:F33,B34:F34,B36:F36,B43:H43</t>
        </is>
      </c>
      <c r="C7" s="72" t="inlineStr">
        <is>
          <t>FFFFFF</t>
        </is>
      </c>
      <c r="D7" s="72" t="inlineStr">
        <is>
          <t>000000</t>
        </is>
      </c>
      <c r="E7" s="72" t="inlineStr">
        <is>
          <t>FFFFFF</t>
        </is>
      </c>
      <c r="F7" s="72" t="inlineStr">
        <is>
          <t>263238</t>
        </is>
      </c>
    </row>
    <row r="8">
      <c r="A8" s="72" t="inlineStr">
        <is>
          <t>input</t>
        </is>
      </c>
      <c r="B8" s="73" t="inlineStr">
        <is>
          <t>C14</t>
        </is>
      </c>
      <c r="C8" s="72" t="inlineStr">
        <is>
          <t>FFFFFF</t>
        </is>
      </c>
      <c r="D8" s="72" t="inlineStr">
        <is>
          <t>000000</t>
        </is>
      </c>
      <c r="E8" s="72" t="inlineStr">
        <is>
          <t>E8F3F3</t>
        </is>
      </c>
      <c r="F8" s="72" t="inlineStr">
        <is>
          <t>0F6B70</t>
        </is>
      </c>
    </row>
    <row r="9">
      <c r="A9" s="72" t="inlineStr">
        <is>
          <t>total</t>
        </is>
      </c>
      <c r="B9" s="73" t="inlineStr">
        <is>
          <t>B24:G24,B39:H39</t>
        </is>
      </c>
      <c r="C9" s="72" t="inlineStr">
        <is>
          <t>000000</t>
        </is>
      </c>
      <c r="D9" s="72" t="inlineStr">
        <is>
          <t>FFFFFF</t>
        </is>
      </c>
      <c r="E9" s="72" t="inlineStr">
        <is>
          <t>0F6B70</t>
        </is>
      </c>
      <c r="F9" s="72" t="inlineStr">
        <is>
          <t>FFFFFF</t>
        </is>
      </c>
    </row>
    <row r="10">
      <c r="A10" s="72" t="inlineStr">
        <is>
          <t>totalsum</t>
        </is>
      </c>
      <c r="B10" s="73" t="inlineStr">
        <is>
          <t>H24</t>
        </is>
      </c>
      <c r="C10" s="72" t="inlineStr">
        <is>
          <t>FFFFFF</t>
        </is>
      </c>
      <c r="D10" s="72" t="inlineStr">
        <is>
          <t>000000</t>
        </is>
      </c>
      <c r="E10" s="72" t="inlineStr">
        <is>
          <t>E8F3F3</t>
        </is>
      </c>
      <c r="F10" s="72" t="inlineStr">
        <is>
          <t>0F6B70</t>
        </is>
      </c>
    </row>
    <row r="11">
      <c r="A11" s="72" t="inlineStr">
        <is>
          <t>note</t>
        </is>
      </c>
      <c r="B11" s="73" t="inlineStr">
        <is>
          <t>B37:F37,B40:H40</t>
        </is>
      </c>
      <c r="C11" s="72" t="inlineStr">
        <is>
          <t>F2F2F2</t>
        </is>
      </c>
      <c r="D11" s="72" t="inlineStr">
        <is>
          <t>000000</t>
        </is>
      </c>
      <c r="E11" s="72" t="inlineStr">
        <is>
          <t>E8F3F3</t>
        </is>
      </c>
      <c r="F11" s="72" t="inlineStr">
        <is>
          <t>263238</t>
        </is>
      </c>
    </row>
    <row r="12">
      <c r="A12" s="72" t="inlineStr">
        <is>
          <t>qr</t>
        </is>
      </c>
      <c r="B12" s="73" t="inlineStr">
        <is>
          <t>G32:H37</t>
        </is>
      </c>
      <c r="C12" s="72" t="inlineStr">
        <is>
          <t>FFFFFF</t>
        </is>
      </c>
      <c r="D12" s="72" t="inlineStr">
        <is>
          <t>000000</t>
        </is>
      </c>
      <c r="E12" s="72" t="inlineStr">
        <is>
          <t>F3F5F5</t>
        </is>
      </c>
      <c r="F12" s="72" t="inlineStr">
        <is>
          <t>0F6B70</t>
        </is>
      </c>
    </row>
    <row r="13">
      <c r="A13" s="72" t="inlineStr">
        <is>
          <t>plain</t>
        </is>
      </c>
      <c r="B13" s="73" t="inlineStr">
        <is>
          <t>B42:D42,E42:F42,G42:H42</t>
        </is>
      </c>
      <c r="C13" s="72" t="inlineStr">
        <is>
          <t>FFFFFF</t>
        </is>
      </c>
      <c r="D13" s="72" t="inlineStr">
        <is>
          <t>000000</t>
        </is>
      </c>
      <c r="E13" s="72" t="inlineStr">
        <is>
          <t>FFFFFF</t>
        </is>
      </c>
      <c r="F13" s="72" t="inlineStr">
        <is>
          <t>263238</t>
        </is>
      </c>
    </row>
    <row r="15">
      <c r="A15" s="71" t="inlineStr">
        <is>
          <t>Служебная таблица. Макрос ПрименитьСхему читает её и перекрашивает лист КВИТАНЦИЯ. Цвета задаются шестью шестнадцатеричными знаками RRGGBB — правьте прямо здесь, код менять не нужно.</t>
        </is>
      </c>
    </row>
    <row r="16"/>
  </sheetData>
  <mergeCells count="1">
    <mergeCell ref="A15:F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74" t="inlineStr">
        <is>
          <t>КАК ВСТРОИТЬ ЭТОТ БЛАНК В СУЩЕСТВУЮЩУЮ ТАБЛИЦУ РАЗНОСКИ</t>
        </is>
      </c>
    </row>
    <row r="2" ht="8" customHeight="1">
      <c r="A2" s="75" t="inlineStr"/>
    </row>
    <row r="3" ht="22" customHeight="1">
      <c r="A3" s="76" t="inlineStr">
        <is>
          <t>1. Перенос листов</t>
        </is>
      </c>
    </row>
    <row r="4" ht="32" customHeight="1">
      <c r="A4" s="77" t="inlineStr">
        <is>
          <t>Скопируйте в свою книгу (правый клик по ярлыку листа → Переместить/скопировать) листы КВИТАНЦИЯ, ДАННЫЕ, НАСТРОЙКИ и СХЕМА. Лист СХЕМА скрыт: чтобы увидеть его, нажмите правой кнопкой на любом ярлыке → Показать.</t>
        </is>
      </c>
    </row>
    <row r="5" ht="32" customHeight="1">
      <c r="A5" s="77" t="inlineStr">
        <is>
          <t>Именованные диапазоны (КВ_ЛС, КВ_НАЧИСЛЕНО, КВ_ДОЛГ, КВ_ИТОГО и др.) переносятся вместе с листами. Проверьте их в Формулы → Диспетчер имён.</t>
        </is>
      </c>
    </row>
    <row r="6" ht="32" customHeight="1">
      <c r="A6" s="77" t="inlineStr">
        <is>
          <t>Импортируйте модуль vba/modКвитанция.bas: Alt+F11 → File → Import File. Книгу сохраните как .xlsm.</t>
        </is>
      </c>
    </row>
    <row r="7" ht="8" customHeight="1">
      <c r="A7" s="75" t="inlineStr"/>
    </row>
    <row r="8" ht="22" customHeight="1">
      <c r="A8" s="76" t="inlineStr">
        <is>
          <t>2. Подключение разноски</t>
        </is>
      </c>
    </row>
    <row r="9" ht="32" customHeight="1">
      <c r="A9" s="77" t="inlineStr">
        <is>
          <t>Лист ДАННЫЕ — единственная точка стыковки. Ваш макрос разноски кладёт в него по одной строке на лицевой счёт за расчётный период. Ключ поиска — столбец A (лицевой счёт).</t>
        </is>
      </c>
    </row>
    <row r="10" ht="32" customHeight="1">
      <c r="A10" s="77" t="inlineStr">
        <is>
          <t>Если разноска уже лежит на другом листе, не копируйте её: пропишите в столбцах листа ДАННЫЕ обычные формулы-ссылки на этот лист (ВПР или ИНДЕКС+ПОИСКПОЗ). Бланк разницы не заметит.</t>
        </is>
      </c>
    </row>
    <row r="11" ht="8" customHeight="1">
      <c r="A11" s="75" t="inlineStr"/>
    </row>
    <row r="12" ht="22" customHeight="1">
      <c r="A12" s="76" t="inlineStr">
        <is>
          <t>3. Автоподстановка сумм</t>
        </is>
      </c>
    </row>
    <row r="13" ht="32" customHeight="1">
      <c r="A13" s="77" t="inlineStr">
        <is>
          <t>Достаточно записать лицевой счёт в ячейку КВИТАНЦИЯ!C14 (имя КВ_ЛС) — ФИО, адрес, площадь, начислено, долг и итог подтянутся формулами.</t>
        </is>
      </c>
    </row>
    <row r="14" ht="32" customHeight="1">
      <c r="A14" s="77" t="inlineStr">
        <is>
          <t>Если суммы удобнее подавать напрямую из макроса, вызывайте процедуру ПодставитьСуммы: она пишет значения в лист ДАННЫЕ, а формулы бланка пересчитываются сами.</t>
        </is>
      </c>
    </row>
    <row r="15" ht="32" customHeight="1">
      <c r="A15" s="77" t="inlineStr">
        <is>
          <t>ИТОГО К ОПЛАТЕ берётся из столбца J листа ДАННЫЕ. Если столбец пуст, бланк считает итог сам: начислено + долг + перерасчёт. Пени в этом доме не начисляются, поэтому строки под них в бланке нет.</t>
        </is>
      </c>
    </row>
    <row r="16" ht="8" customHeight="1">
      <c r="A16" s="75" t="inlineStr"/>
    </row>
    <row r="17" ht="22" customHeight="1">
      <c r="A17" s="76" t="inlineStr">
        <is>
          <t>4. Печать и PDF</t>
        </is>
      </c>
    </row>
    <row r="18" ht="32" customHeight="1">
      <c r="A18" s="77" t="inlineStr">
        <is>
          <t>Книга сохранена в чёрно-белой схеме — можно сразу печатать на А4: одна страница, поля 5 мм, вписано по ширине и высоте.</t>
        </is>
      </c>
    </row>
    <row r="19" ht="32" customHeight="1">
      <c r="A19" s="77" t="inlineStr">
        <is>
          <t>Макрос ЭкспортКвитанцииВPDF временно переключает бланк в цветную схему, выгружает PDF и возвращает чёрно-белый вид. Файл для отправки жителю получается цветным, бумажная копия остаётся чёрно-белой.</t>
        </is>
      </c>
    </row>
    <row r="20" ht="32" customHeight="1">
      <c r="A20" s="77" t="inlineStr">
        <is>
          <t>Макрос ПакетныйЭкспортPDF делает то же самое по всем лицевым счетам листа ДАННЫЕ и раскладывает файлы по выбранной папке.</t>
        </is>
      </c>
    </row>
    <row r="21" ht="32" customHeight="1">
      <c r="A21" s="77" t="inlineStr">
        <is>
          <t>Макросы СхемаЧБ и СхемаЦвет переключают вид вручную — например, чтобы посмотреть, как квитанция будет выглядеть у жителя на экране.</t>
        </is>
      </c>
    </row>
    <row r="22" ht="8" customHeight="1">
      <c r="A22" s="75" t="inlineStr"/>
    </row>
    <row r="23" ht="22" customHeight="1">
      <c r="A23" s="76" t="inlineStr">
        <is>
          <t>5. QR-код</t>
        </is>
      </c>
    </row>
    <row r="24" ht="32" customHeight="1">
      <c r="A24" s="77" t="inlineStr">
        <is>
          <t>Строка платежа по ГОСТ Р 56042-2014 собирается формулой на листе НАСТРОЙКИ (имя КВ_QR) и готова к передаче в любой генератор QR. Функция СтрокаQR возвращает её из VBA.</t>
        </is>
      </c>
    </row>
    <row r="25" ht="32" customHeight="1">
      <c r="A25" s="77" t="inlineStr">
        <is>
          <t>Сама картинка QR в шаблон не встроена: вставьте изображение в область G32:H37 вручную либо подключите свой генератор в процедуре ВставитьQR (в модуле оставлена заготовка).</t>
        </is>
      </c>
    </row>
    <row r="26" ht="8" customHeight="1">
      <c r="A26" s="75" t="inlineStr"/>
    </row>
    <row r="27" ht="22" customHeight="1">
      <c r="A27" s="76" t="inlineStr">
        <is>
          <t>6. Что проверить перед первой выдачей квитанций</t>
        </is>
      </c>
    </row>
    <row r="28" ht="32" customHeight="1">
      <c r="A28" s="77" t="inlineStr">
        <is>
          <t>• Размер взноса (руб./м²). В исходном файле он подтягивался из внешней книги, поэтому столбец F листа ДАННЫЕ оставлен пустым, а бланк восстанавливает тариф как начислено ÷ площадь. Впишите утверждённый тариф, чтобы в квитанции стояла точная величина.</t>
        </is>
      </c>
    </row>
    <row r="29" ht="32" customHeight="1">
      <c r="A29" s="77" t="inlineStr">
        <is>
          <t>• Остаток средств на специальном счёте и накопления по лицевому счёту (столбцы L и M). Пока они пусты, в разделе 4 стоит прочерк.</t>
        </is>
      </c>
    </row>
    <row r="30" ht="32" customHeight="1">
      <c r="A30" s="77" t="inlineStr">
        <is>
          <t>• Реквизиты специального счёта на листе НАСТРОЙКИ — они перенесены из вашего образца без изменений.</t>
        </is>
      </c>
    </row>
  </sheetData>
  <mergeCells count="30">
    <mergeCell ref="A16:F16"/>
    <mergeCell ref="A27:F27"/>
    <mergeCell ref="A12:F12"/>
    <mergeCell ref="A18:F18"/>
    <mergeCell ref="A3:F3"/>
    <mergeCell ref="A21:F21"/>
    <mergeCell ref="A26:F26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19:F19"/>
    <mergeCell ref="A9:F9"/>
    <mergeCell ref="A30:F30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2026-08-08T09:44:35Z</dcterms:created>
  <dcterms:modified xsi:type="dcterms:W3CDTF">2026-08-08T09:44:35Z</dcterms:modified>
</cp:coreProperties>
</file>