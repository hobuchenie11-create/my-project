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ХОДНЫЕ ДАННЫЕ" sheetId="1" state="visible" r:id="rId1"/>
    <sheet xmlns:r="http://schemas.openxmlformats.org/officeDocument/2006/relationships" name="ПРОПИСЬ" sheetId="2" state="hidden" r:id="rId2"/>
    <sheet xmlns:r="http://schemas.openxmlformats.org/officeDocument/2006/relationships" name="Квитанция 1 кв" sheetId="3" state="visible" r:id="rId3"/>
    <sheet xmlns:r="http://schemas.openxmlformats.org/officeDocument/2006/relationships" name="Квитанция 2 кв" sheetId="4" state="visible" r:id="rId4"/>
    <sheet xmlns:r="http://schemas.openxmlformats.org/officeDocument/2006/relationships" name="Квитанция 3 кв" sheetId="5" state="visible" r:id="rId5"/>
    <sheet xmlns:r="http://schemas.openxmlformats.org/officeDocument/2006/relationships" name="Квитанция 4 кв" sheetId="6" state="visible" r:id="rId6"/>
    <sheet xmlns:r="http://schemas.openxmlformats.org/officeDocument/2006/relationships" name="Письмо 1 кв" sheetId="7" state="visible" r:id="rId7"/>
    <sheet xmlns:r="http://schemas.openxmlformats.org/officeDocument/2006/relationships" name="Письмо 2 кв" sheetId="8" state="visible" r:id="rId8"/>
    <sheet xmlns:r="http://schemas.openxmlformats.org/officeDocument/2006/relationships" name="Письмо 3 кв" sheetId="9" state="visible" r:id="rId9"/>
    <sheet xmlns:r="http://schemas.openxmlformats.org/officeDocument/2006/relationships" name="Письмо 4 кв" sheetId="10" state="visible" r:id="rId10"/>
    <sheet xmlns:r="http://schemas.openxmlformats.org/officeDocument/2006/relationships"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ДАННЫЕ'!$B$30:$F$33</definedName>
    <definedName name="_xlnm.Print_Area" localSheetId="0">'ИСХОДНЫЕ ДАННЫЕ'!$B$1:$F$50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кв'!$A$1:$G$28</definedName>
    <definedName name="_xlnm.Print_Area" localSheetId="7">'Письмо 2 кв'!$A$1:$G$28</definedName>
    <definedName name="_xlnm.Print_Area" localSheetId="8">'Письмо 3 кв'!$A$1:$G$28</definedName>
    <definedName name="_xlnm.Print_Area" localSheetId="9">'Письмо 4 кв'!$A$1:$G$28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2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color rgb="00000000"/>
      <sz val="11"/>
    </font>
    <font>
      <name val="Arial"/>
      <i val="1"/>
      <color rgb="00000000"/>
      <sz val="11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5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3CD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4" fontId="4" fillId="3" borderId="1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4" fontId="6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166" fontId="6" fillId="3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7" fillId="0" borderId="0" pivotButton="0" quotePrefix="0" xfId="0"/>
    <xf numFmtId="0" fontId="8" fillId="4" borderId="2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left" vertical="center" indent="1"/>
    </xf>
    <xf numFmtId="0" fontId="9" fillId="4" borderId="4" applyAlignment="1" pivotButton="0" quotePrefix="0" xfId="0">
      <alignment horizontal="left" vertical="center" indent="1"/>
    </xf>
    <xf numFmtId="0" fontId="9" fillId="4" borderId="4" applyAlignment="1" pivotButton="0" quotePrefix="0" xfId="0">
      <alignment horizontal="right" vertical="center" indent="1"/>
    </xf>
    <xf numFmtId="0" fontId="9" fillId="4" borderId="5" applyAlignment="1" pivotButton="0" quotePrefix="0" xfId="0">
      <alignment horizontal="right" vertical="center" indent="1"/>
    </xf>
    <xf numFmtId="0" fontId="10" fillId="4" borderId="3" applyAlignment="1" pivotButton="0" quotePrefix="0" xfId="0">
      <alignment horizontal="left" vertical="center" indent="1"/>
    </xf>
    <xf numFmtId="0" fontId="10" fillId="4" borderId="4" applyAlignment="1" pivotButton="0" quotePrefix="0" xfId="0">
      <alignment horizontal="left" vertical="center" indent="1"/>
    </xf>
    <xf numFmtId="0" fontId="10" fillId="4" borderId="5" applyAlignment="1" pivotButton="0" quotePrefix="0" xfId="0">
      <alignment horizontal="left" vertical="center" indent="1"/>
    </xf>
    <xf numFmtId="0" fontId="11" fillId="4" borderId="7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left" vertical="center" wrapText="1" indent="1"/>
    </xf>
    <xf numFmtId="0" fontId="11" fillId="4" borderId="7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left" vertical="center" indent="1"/>
    </xf>
    <xf numFmtId="0" fontId="12" fillId="4" borderId="8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left" vertical="center" indent="1"/>
    </xf>
    <xf numFmtId="0" fontId="10" fillId="4" borderId="8" applyAlignment="1" pivotButton="0" quotePrefix="0" xfId="0">
      <alignment horizontal="left" vertical="center" indent="1"/>
    </xf>
    <xf numFmtId="0" fontId="11" fillId="4" borderId="9" applyAlignment="1" pivotButton="0" quotePrefix="0" xfId="0">
      <alignment horizontal="left" vertical="center" indent="1"/>
    </xf>
    <xf numFmtId="0" fontId="12" fillId="4" borderId="6" applyAlignment="1" pivotButton="0" quotePrefix="0" xfId="0">
      <alignment horizontal="left" vertical="center" indent="1"/>
    </xf>
    <xf numFmtId="0" fontId="11" fillId="4" borderId="6" applyAlignment="1" pivotButton="0" quotePrefix="0" xfId="0">
      <alignment horizontal="left" vertical="center" indent="1"/>
    </xf>
    <xf numFmtId="0" fontId="12" fillId="4" borderId="10" applyAlignment="1" pivotButton="0" quotePrefix="0" xfId="0">
      <alignment horizontal="left" vertical="center" indent="1"/>
    </xf>
    <xf numFmtId="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 wrapText="1" indent="1"/>
    </xf>
    <xf numFmtId="166" fontId="14" fillId="4" borderId="1" applyAlignment="1" pivotButton="0" quotePrefix="0" xfId="0">
      <alignment horizontal="center" vertical="center"/>
    </xf>
    <xf numFmtId="166" fontId="14" fillId="4" borderId="8" applyAlignment="1" pivotButton="0" quotePrefix="0" xfId="0">
      <alignment horizontal="center" vertical="center"/>
    </xf>
    <xf numFmtId="0" fontId="11" fillId="4" borderId="9" applyAlignment="1" pivotButton="0" quotePrefix="0" xfId="0">
      <alignment horizontal="left" vertical="center" wrapText="1" indent="1"/>
    </xf>
    <xf numFmtId="164" fontId="10" fillId="4" borderId="6" applyAlignment="1" pivotButton="0" quotePrefix="0" xfId="0">
      <alignment horizontal="center" vertical="center"/>
    </xf>
    <xf numFmtId="0" fontId="11" fillId="4" borderId="6" applyAlignment="1" pivotButton="0" quotePrefix="0" xfId="0">
      <alignment horizontal="left" vertical="center" wrapText="1" indent="1"/>
    </xf>
    <xf numFmtId="4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0" fontId="10" fillId="4" borderId="10" applyAlignment="1" pivotButton="0" quotePrefix="0" xfId="0">
      <alignment horizontal="center" vertical="center"/>
    </xf>
    <xf numFmtId="0" fontId="9" fillId="4" borderId="9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2" fillId="4" borderId="7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center" vertical="center"/>
    </xf>
    <xf numFmtId="4" fontId="10" fillId="4" borderId="8" applyAlignment="1" pivotButton="0" quotePrefix="0" xfId="0">
      <alignment horizontal="right" vertical="center" indent="1"/>
    </xf>
    <xf numFmtId="0" fontId="9" fillId="4" borderId="7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12" fillId="4" borderId="1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left" vertical="center" indent="1"/>
    </xf>
    <xf numFmtId="0" fontId="15" fillId="4" borderId="4" applyAlignment="1" pivotButton="0" quotePrefix="0" xfId="0">
      <alignment horizontal="left" vertical="center" indent="1"/>
    </xf>
    <xf numFmtId="4" fontId="16" fillId="4" borderId="2" applyAlignment="1" pivotButton="0" quotePrefix="0" xfId="0">
      <alignment horizontal="right" vertical="center" indent="1"/>
    </xf>
    <xf numFmtId="0" fontId="12" fillId="4" borderId="9" applyAlignment="1" pivotButton="0" quotePrefix="0" xfId="0">
      <alignment horizontal="left" vertical="center" indent="1"/>
    </xf>
    <xf numFmtId="4" fontId="10" fillId="4" borderId="6" applyAlignment="1" pivotButton="0" quotePrefix="0" xfId="0">
      <alignment horizontal="right" vertical="center" indent="1"/>
    </xf>
    <xf numFmtId="4" fontId="10" fillId="4" borderId="10" applyAlignment="1" pivotButton="0" quotePrefix="0" xfId="0">
      <alignment horizontal="right" vertical="center" indent="1"/>
    </xf>
    <xf numFmtId="0" fontId="12" fillId="4" borderId="7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3" fillId="4" borderId="0" applyAlignment="1" pivotButton="0" quotePrefix="0" xfId="0">
      <alignment horizontal="left" vertical="top" wrapText="1"/>
    </xf>
    <xf numFmtId="0" fontId="18" fillId="4" borderId="0" applyAlignment="1" pivotButton="0" quotePrefix="0" xfId="0">
      <alignment horizontal="left" vertical="top" wrapText="1"/>
    </xf>
    <xf numFmtId="0" fontId="19" fillId="4" borderId="0" applyAlignment="1" pivotButton="0" quotePrefix="0" xfId="0">
      <alignment horizontal="left" vertical="top" wrapText="1"/>
    </xf>
    <xf numFmtId="0" fontId="18" fillId="4" borderId="0" applyAlignment="1" pivotButton="0" quotePrefix="0" xfId="0">
      <alignment horizontal="right" vertical="top" wrapText="1"/>
    </xf>
    <xf numFmtId="0" fontId="2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6" customWidth="1" min="3" max="3"/>
    <col width="30" customWidth="1" min="4" max="4"/>
    <col width="22" customWidth="1" min="5" max="5"/>
    <col width="22" customWidth="1" min="6" max="6"/>
    <col width="26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Жёлтые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18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18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18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4" t="inlineStr">
        <is>
          <t>Начислено за месяц, руб.</t>
        </is>
      </c>
      <c r="C8" s="9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18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18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18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18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18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Магистральная, 2»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18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18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18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18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18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3" ht="20" customHeight="1">
      <c r="B23" s="3" t="inlineStr">
        <is>
          <t>4. АДРЕСАТ ПИСЬМА (МЕНЯЕТСЯ ПРИ СМЕНЕ РУКОВОДИТЕЛЯ)</t>
        </is>
      </c>
      <c r="C23" s="3" t="n"/>
      <c r="D23" s="3" t="n"/>
      <c r="E23" s="3" t="n"/>
      <c r="F23" s="3" t="n"/>
      <c r="G23" s="3" t="n"/>
    </row>
    <row r="24" ht="18" customHeight="1">
      <c r="B24" s="4" t="inlineStr">
        <is>
          <t>Организация</t>
        </is>
      </c>
      <c r="C24" s="5" t="inlineStr">
        <is>
          <t>Департамент жилищной политики Администрации города Омска</t>
        </is>
      </c>
      <c r="D24" s="6" t="inlineStr"/>
    </row>
    <row r="25" ht="18" customHeight="1">
      <c r="B25" s="4" t="inlineStr">
        <is>
          <t>Должность руководителя</t>
        </is>
      </c>
      <c r="C25" s="5" t="inlineStr">
        <is>
          <t>Директору</t>
        </is>
      </c>
      <c r="D25" s="6" t="inlineStr">
        <is>
          <t>В дательном падеже: «Директору»</t>
        </is>
      </c>
    </row>
    <row r="26" ht="18" customHeight="1">
      <c r="B26" s="4" t="inlineStr">
        <is>
          <t>ФИО руководителя</t>
        </is>
      </c>
      <c r="C26" s="5" t="inlineStr"/>
      <c r="D26" s="6" t="inlineStr">
        <is>
          <t>Оставьте пустым — строка не напечатается</t>
        </is>
      </c>
    </row>
    <row r="28" ht="20" customHeight="1">
      <c r="B28" s="3" t="inlineStr">
        <is>
          <t>5. ПО КВАРТАЛАМ: ЗАДОЛЖЕННОСТЬ И ДАТЫ</t>
        </is>
      </c>
      <c r="C28" s="3" t="n"/>
      <c r="D28" s="3" t="n"/>
      <c r="E28" s="3" t="n"/>
      <c r="F28" s="3" t="n"/>
      <c r="G28" s="3" t="n"/>
    </row>
    <row r="29" ht="32" customHeight="1">
      <c r="B29" s="10" t="inlineStr">
        <is>
          <t>Квартал</t>
        </is>
      </c>
      <c r="C29" s="10" t="inlineStr">
        <is>
          <t>Задолженность, руб.</t>
        </is>
      </c>
      <c r="D29" s="10" t="inlineStr">
        <is>
          <t>Описание задолженности</t>
        </is>
      </c>
      <c r="E29" s="10" t="inlineStr">
        <is>
          <t>Дата формирования</t>
        </is>
      </c>
      <c r="F29" s="10" t="inlineStr">
        <is>
          <t>Поступило с начала года, руб.</t>
        </is>
      </c>
    </row>
    <row r="30" ht="18" customHeight="1">
      <c r="B30" s="4" t="inlineStr">
        <is>
          <t>I квартал</t>
        </is>
      </c>
      <c r="C30" s="11" t="n">
        <v>4042.38</v>
      </c>
      <c r="D30" s="12" t="inlineStr">
        <is>
          <t>за III и IV кварталы 2025 года</t>
        </is>
      </c>
      <c r="E30" s="13" t="n">
        <v>46051</v>
      </c>
      <c r="F30" s="11" t="n"/>
    </row>
    <row r="31" ht="18" customHeight="1">
      <c r="B31" s="4" t="inlineStr">
        <is>
          <t>II квартал</t>
        </is>
      </c>
      <c r="C31" s="11" t="n">
        <v>0</v>
      </c>
      <c r="D31" s="12" t="inlineStr"/>
      <c r="E31" s="13" t="n">
        <v>46127</v>
      </c>
      <c r="F31" s="11" t="n"/>
    </row>
    <row r="32" ht="18" customHeight="1">
      <c r="B32" s="4" t="inlineStr">
        <is>
          <t>III квартал</t>
        </is>
      </c>
      <c r="C32" s="11" t="n">
        <v>0</v>
      </c>
      <c r="D32" s="12" t="inlineStr"/>
      <c r="E32" s="13" t="n">
        <v>46218</v>
      </c>
      <c r="F32" s="11" t="n"/>
    </row>
    <row r="33" ht="18" customHeight="1">
      <c r="B33" s="4" t="inlineStr">
        <is>
          <t>IV квартал</t>
        </is>
      </c>
      <c r="C33" s="11" t="n">
        <v>0</v>
      </c>
      <c r="D33" s="12" t="inlineStr"/>
      <c r="E33" s="13" t="n">
        <v>46310</v>
      </c>
      <c r="F33" s="11" t="n"/>
    </row>
    <row r="35">
      <c r="B35" s="14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6"/>
    <row r="38" ht="20" customHeight="1">
      <c r="B38" s="3" t="inlineStr">
        <is>
          <t>6. РЕКВИЗИТЫ СПЕЦИАЛЬНОГО СЧЁТА (НЕ МЕНЯЮТСЯ)</t>
        </is>
      </c>
      <c r="C38" s="3" t="n"/>
      <c r="D38" s="3" t="n"/>
      <c r="E38" s="3" t="n"/>
      <c r="F38" s="3" t="n"/>
      <c r="G38" s="3" t="n"/>
    </row>
    <row r="39" ht="18" customHeight="1">
      <c r="B39" s="4" t="inlineStr">
        <is>
          <t>Получатель платежа</t>
        </is>
      </c>
      <c r="C39" s="15" t="inlineStr">
        <is>
          <t>РЕГИОНАЛЬНЫЙ ФОНД КАПИТАЛЬНОГО РЕМОНТА МНОГОКВАРТИРНЫХ ДОМОВ ОМСКОЙ ОБЛАСТИ (СПЕЦ. СЧЕТ)</t>
        </is>
      </c>
      <c r="D39" s="16" t="n"/>
    </row>
    <row r="40" ht="18" customHeight="1">
      <c r="B40" s="4" t="inlineStr">
        <is>
          <t>Юридический адрес</t>
        </is>
      </c>
      <c r="C40" s="15" t="inlineStr">
        <is>
          <t>644099, г. Омск, ул. Краснофлотская, 24</t>
        </is>
      </c>
      <c r="D40" s="16" t="n"/>
    </row>
    <row r="41" ht="18" customHeight="1">
      <c r="B41" s="4" t="inlineStr">
        <is>
          <t>ИНН</t>
        </is>
      </c>
      <c r="C41" s="15" t="inlineStr">
        <is>
          <t>5503239348</t>
        </is>
      </c>
      <c r="D41" s="16" t="n"/>
    </row>
    <row r="42" ht="18" customHeight="1">
      <c r="B42" s="4" t="inlineStr">
        <is>
          <t>КПП</t>
        </is>
      </c>
      <c r="C42" s="15" t="inlineStr">
        <is>
          <t>550301001</t>
        </is>
      </c>
      <c r="D42" s="16" t="n"/>
    </row>
    <row r="43" ht="18" customHeight="1">
      <c r="B43" s="4" t="inlineStr">
        <is>
          <t>ОГРН</t>
        </is>
      </c>
      <c r="C43" s="15" t="inlineStr">
        <is>
          <t>1027700342890</t>
        </is>
      </c>
      <c r="D43" s="16" t="n"/>
    </row>
    <row r="44" ht="18" customHeight="1">
      <c r="B44" s="4" t="inlineStr">
        <is>
          <t>Расчётный счёт (спец. счёт МКД)</t>
        </is>
      </c>
      <c r="C44" s="15" t="inlineStr">
        <is>
          <t>40604810809000000154</t>
        </is>
      </c>
      <c r="D44" s="16" t="n"/>
    </row>
    <row r="45" ht="18" customHeight="1">
      <c r="B45" s="4" t="inlineStr">
        <is>
          <t>Банк</t>
        </is>
      </c>
      <c r="C45" s="15" t="inlineStr">
        <is>
          <t>Омский РФ АО «Россельхозбанк»</t>
        </is>
      </c>
      <c r="D45" s="16" t="n"/>
    </row>
    <row r="46" ht="18" customHeight="1">
      <c r="B46" s="4" t="inlineStr">
        <is>
          <t>Корреспондентский счёт</t>
        </is>
      </c>
      <c r="C46" s="15" t="inlineStr">
        <is>
          <t>30101810900000000822</t>
        </is>
      </c>
      <c r="D46" s="16" t="n"/>
    </row>
    <row r="47" ht="18" customHeight="1">
      <c r="B47" s="4" t="inlineStr">
        <is>
          <t>БИК</t>
        </is>
      </c>
      <c r="C47" s="15" t="inlineStr">
        <is>
          <t>045209822</t>
        </is>
      </c>
      <c r="D47" s="16" t="n"/>
    </row>
    <row r="48" ht="18" customHeight="1">
      <c r="B48" s="4" t="inlineStr">
        <is>
          <t>ИНН/КПП банка</t>
        </is>
      </c>
      <c r="C48" s="15" t="inlineStr">
        <is>
          <t>7725114488 / 550502001</t>
        </is>
      </c>
      <c r="D48" s="16" t="n"/>
    </row>
    <row r="49" ht="18" customHeight="1">
      <c r="B49" s="4" t="inlineStr">
        <is>
          <t>День срока оплаты</t>
        </is>
      </c>
      <c r="C49" s="15" t="n">
        <v>15</v>
      </c>
      <c r="D49" s="6" t="inlineStr">
        <is>
          <t>Единый срок по ч. 1 ст. 155 и ч. 2 ст. 171 ЖК РФ (ФЗ от 24.06.2025 № 177-ФЗ)</t>
        </is>
      </c>
    </row>
  </sheetData>
  <mergeCells count="9">
    <mergeCell ref="B38:G38"/>
    <mergeCell ref="B2:G2"/>
    <mergeCell ref="B10:G10"/>
    <mergeCell ref="B28:G28"/>
    <mergeCell ref="B35:G36"/>
    <mergeCell ref="B17:G17"/>
    <mergeCell ref="B23:G23"/>
    <mergeCell ref="B1:G1"/>
    <mergeCell ref="B4:G4"/>
  </mergeCells>
  <pageMargins left="0.4" right="0.4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Число</t>
        </is>
      </c>
      <c r="B1" s="17" t="inlineStr">
        <is>
          <t>Прописью (муж.)</t>
        </is>
      </c>
      <c r="C1" s="17" t="inlineStr">
        <is>
          <t>Форма рубля</t>
        </is>
      </c>
      <c r="D1" s="17" t="inlineStr">
        <is>
          <t>Прописью (жен.)</t>
        </is>
      </c>
      <c r="E1" s="17" t="inlineStr">
        <is>
          <t>Форма тысячи</t>
        </is>
      </c>
      <c r="F1" s="17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ДАННЫЕ'!$E$30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"январь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"февраль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"март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ДАННЫЕ'!$D$30="","",'ИСХОДНЫЕ ДАННЫЕ'!$D$30)</f>
        <v/>
      </c>
      <c r="G25" s="58" t="n"/>
      <c r="H25" s="55">
        <f>'ИСХОДНЫЕ ДАННЫЕ'!$C$30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2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3">
        <f>IF('ИСХОДНЫЕ ДАННЫЕ'!$F$30="","—",'ИСХОДНЫЕ ДАННЫЕ'!$F$30)</f>
        <v/>
      </c>
      <c r="H29" s="64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5" t="inlineStr">
        <is>
          <t>1) без комиссии — в отделениях АО «Россельхозбанк» (банк, в котором открыт специальный счёт дома);</t>
        </is>
      </c>
      <c r="C32" s="66" t="n"/>
      <c r="D32" s="66" t="n"/>
      <c r="E32" s="66" t="n"/>
      <c r="F32" s="66" t="n"/>
      <c r="G32" s="67" t="n"/>
      <c r="H32" s="68" t="n"/>
    </row>
    <row r="33" ht="26" customHeight="1">
      <c r="B33" s="65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6" t="n"/>
      <c r="D33" s="66" t="n"/>
      <c r="E33" s="66" t="n"/>
      <c r="F33" s="66" t="n"/>
      <c r="G33" s="67" t="n"/>
      <c r="H33" s="68" t="n"/>
    </row>
    <row r="34" ht="14" customHeight="1">
      <c r="B34" s="65" t="n"/>
      <c r="C34" s="66" t="n"/>
      <c r="D34" s="66" t="n"/>
      <c r="E34" s="66" t="n"/>
      <c r="F34" s="66" t="n"/>
      <c r="G34" s="67" t="n"/>
      <c r="H34" s="68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7" t="n"/>
      <c r="H35" s="68" t="n"/>
    </row>
    <row r="36" ht="30" customHeight="1">
      <c r="B36" s="65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6" t="n"/>
      <c r="D36" s="66" t="n"/>
      <c r="E36" s="66" t="n"/>
      <c r="F36" s="66" t="n"/>
      <c r="G36" s="67" t="n"/>
      <c r="H36" s="68" t="n"/>
    </row>
    <row r="37" ht="26" customHeight="1">
      <c r="B37" s="69">
        <f>"Срок оплаты: до "&amp;'ИСХОДНЫЕ ДАННЫЕ'!$C$49&amp;" числа месяца, следующего за расчётным (за "&amp;"I квартал "&amp;'ИСХОДНЫЕ ДАННЫЕ'!$C$5&amp;" г."&amp;" — до "&amp;TEXT(DAY(DATE('ИСХОДНЫЕ ДАННЫЕ'!$C$5,3+1,'ИСХОДНЫЕ ДАННЫЕ'!$C$49)),"00")&amp;"."&amp;TEXT(MONTH(DATE('ИСХОДНЫЕ ДАННЫЕ'!$C$5,3+1,'ИСХОДНЫЕ ДАННЫЕ'!$C$49)),"00")&amp;"."&amp;YEAR(DATE('ИСХОДНЫЕ ДАННЫЕ'!$C$5,3+1,'ИСХОДНЫЕ ДАННЫЕ'!$C$49))&amp;")."&amp;CHAR(10)&amp;"Основание: ч. 1 ст. 155, ч. 2 ст. 171 ЖК РФ."</f>
        <v/>
      </c>
      <c r="C37" s="70" t="n"/>
      <c r="D37" s="70" t="n"/>
      <c r="E37" s="70" t="n"/>
      <c r="F37" s="70" t="n"/>
      <c r="G37" s="70" t="n"/>
      <c r="H37" s="71" t="n"/>
    </row>
    <row r="38" ht="5" customHeight="1"/>
    <row r="39" ht="32" customHeight="1">
      <c r="B39" s="72">
        <f>"ВНИМАНИЕ! ПЛАТИТЕ ТОЛЬКО ПО НОМЕРУ РАСЧЁТНОГО СЧЁТА "&amp;'ИСХОДНЫЕ ДАННЫЕ'!$C$44&amp;" — ЭТО СПЕЦИАЛЬНЫЙ СЧЁТ ВАШЕГО ДОМА"</f>
        <v/>
      </c>
      <c r="C39" s="72" t="n"/>
      <c r="D39" s="72" t="n"/>
      <c r="E39" s="72" t="n"/>
      <c r="F39" s="72" t="n"/>
      <c r="G39" s="72" t="n"/>
      <c r="H39" s="72" t="n"/>
    </row>
    <row r="40" ht="44" customHeight="1">
      <c r="B40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8" t="n"/>
      <c r="D40" s="58" t="n"/>
      <c r="E40" s="58" t="n"/>
      <c r="F40" s="58" t="n"/>
      <c r="G40" s="58" t="n"/>
      <c r="H40" s="58" t="n"/>
    </row>
    <row r="41" ht="6" customHeight="1"/>
    <row r="42" ht="24" customHeight="1">
      <c r="B42" s="73" t="inlineStr">
        <is>
          <t>Подпись плательщика  ______________________</t>
        </is>
      </c>
      <c r="C42" s="73" t="n"/>
      <c r="D42" s="73" t="n"/>
      <c r="E42" s="73" t="inlineStr">
        <is>
          <t>Кассир  ______________</t>
        </is>
      </c>
      <c r="F42" s="73" t="n"/>
      <c r="G42" s="73" t="inlineStr">
        <is>
          <t>Дата  ____________</t>
        </is>
      </c>
      <c r="H42" s="73" t="n"/>
    </row>
    <row r="43" ht="22" customHeight="1">
      <c r="B43" s="74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4" t="n"/>
      <c r="D43" s="74" t="n"/>
      <c r="E43" s="74" t="n"/>
      <c r="F43" s="74" t="n"/>
      <c r="G43" s="74" t="n"/>
      <c r="H43" s="74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ДАННЫЕ'!$E$31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"апрель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"май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"июнь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"II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ДАННЫЕ'!$D$31="","",'ИСХОДНЫЕ ДАННЫЕ'!$D$31)</f>
        <v/>
      </c>
      <c r="G25" s="58" t="n"/>
      <c r="H25" s="55">
        <f>'ИСХОДНЫЕ ДАННЫЕ'!$C$31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2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3">
        <f>IF('ИСХОДНЫЕ ДАННЫЕ'!$F$31="","—",'ИСХОДНЫЕ ДАННЫЕ'!$F$31)</f>
        <v/>
      </c>
      <c r="H29" s="64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5" t="inlineStr">
        <is>
          <t>1) без комиссии — в отделениях АО «Россельхозбанк» (банк, в котором открыт специальный счёт дома);</t>
        </is>
      </c>
      <c r="C32" s="66" t="n"/>
      <c r="D32" s="66" t="n"/>
      <c r="E32" s="66" t="n"/>
      <c r="F32" s="66" t="n"/>
      <c r="G32" s="67" t="n"/>
      <c r="H32" s="68" t="n"/>
    </row>
    <row r="33" ht="26" customHeight="1">
      <c r="B33" s="65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6" t="n"/>
      <c r="D33" s="66" t="n"/>
      <c r="E33" s="66" t="n"/>
      <c r="F33" s="66" t="n"/>
      <c r="G33" s="67" t="n"/>
      <c r="H33" s="68" t="n"/>
    </row>
    <row r="34" ht="14" customHeight="1">
      <c r="B34" s="65" t="n"/>
      <c r="C34" s="66" t="n"/>
      <c r="D34" s="66" t="n"/>
      <c r="E34" s="66" t="n"/>
      <c r="F34" s="66" t="n"/>
      <c r="G34" s="67" t="n"/>
      <c r="H34" s="68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7" t="n"/>
      <c r="H35" s="68" t="n"/>
    </row>
    <row r="36" ht="30" customHeight="1">
      <c r="B36" s="65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6" t="n"/>
      <c r="D36" s="66" t="n"/>
      <c r="E36" s="66" t="n"/>
      <c r="F36" s="66" t="n"/>
      <c r="G36" s="67" t="n"/>
      <c r="H36" s="68" t="n"/>
    </row>
    <row r="37" ht="26" customHeight="1">
      <c r="B37" s="69">
        <f>"Срок оплаты: до "&amp;'ИСХОДНЫЕ ДАННЫЕ'!$C$49&amp;" числа месяца, следующего за расчётным (за "&amp;"II квартал "&amp;'ИСХОДНЫЕ ДАННЫЕ'!$C$5&amp;" г."&amp;" — до "&amp;TEXT(DAY(DATE('ИСХОДНЫЕ ДАННЫЕ'!$C$5,6+1,'ИСХОДНЫЕ ДАННЫЕ'!$C$49)),"00")&amp;"."&amp;TEXT(MONTH(DATE('ИСХОДНЫЕ ДАННЫЕ'!$C$5,6+1,'ИСХОДНЫЕ ДАННЫЕ'!$C$49)),"00")&amp;"."&amp;YEAR(DATE('ИСХОДНЫЕ ДАННЫЕ'!$C$5,6+1,'ИСХОДНЫЕ ДАННЫЕ'!$C$49))&amp;")."&amp;CHAR(10)&amp;"Основание: ч. 1 ст. 155, ч. 2 ст. 171 ЖК РФ."</f>
        <v/>
      </c>
      <c r="C37" s="70" t="n"/>
      <c r="D37" s="70" t="n"/>
      <c r="E37" s="70" t="n"/>
      <c r="F37" s="70" t="n"/>
      <c r="G37" s="70" t="n"/>
      <c r="H37" s="71" t="n"/>
    </row>
    <row r="38" ht="5" customHeight="1"/>
    <row r="39" ht="32" customHeight="1">
      <c r="B39" s="72">
        <f>"ВНИМАНИЕ! ПЛАТИТЕ ТОЛЬКО ПО НОМЕРУ РАСЧЁТНОГО СЧЁТА "&amp;'ИСХОДНЫЕ ДАННЫЕ'!$C$44&amp;" — ЭТО СПЕЦИАЛЬНЫЙ СЧЁТ ВАШЕГО ДОМА"</f>
        <v/>
      </c>
      <c r="C39" s="72" t="n"/>
      <c r="D39" s="72" t="n"/>
      <c r="E39" s="72" t="n"/>
      <c r="F39" s="72" t="n"/>
      <c r="G39" s="72" t="n"/>
      <c r="H39" s="72" t="n"/>
    </row>
    <row r="40" ht="44" customHeight="1">
      <c r="B40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8" t="n"/>
      <c r="D40" s="58" t="n"/>
      <c r="E40" s="58" t="n"/>
      <c r="F40" s="58" t="n"/>
      <c r="G40" s="58" t="n"/>
      <c r="H40" s="58" t="n"/>
    </row>
    <row r="41" ht="6" customHeight="1"/>
    <row r="42" ht="24" customHeight="1">
      <c r="B42" s="73" t="inlineStr">
        <is>
          <t>Подпись плательщика  ______________________</t>
        </is>
      </c>
      <c r="C42" s="73" t="n"/>
      <c r="D42" s="73" t="n"/>
      <c r="E42" s="73" t="inlineStr">
        <is>
          <t>Кассир  ______________</t>
        </is>
      </c>
      <c r="F42" s="73" t="n"/>
      <c r="G42" s="73" t="inlineStr">
        <is>
          <t>Дата  ____________</t>
        </is>
      </c>
      <c r="H42" s="73" t="n"/>
    </row>
    <row r="43" ht="22" customHeight="1">
      <c r="B43" s="74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4" t="n"/>
      <c r="D43" s="74" t="n"/>
      <c r="E43" s="74" t="n"/>
      <c r="F43" s="74" t="n"/>
      <c r="G43" s="74" t="n"/>
      <c r="H43" s="74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"&amp;"III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ДАННЫЕ'!$E$32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"III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"июль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"август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"сентябрь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"III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ДАННЫЕ'!$D$32="","",'ИСХОДНЫЕ ДАННЫЕ'!$D$32)</f>
        <v/>
      </c>
      <c r="G25" s="58" t="n"/>
      <c r="H25" s="55">
        <f>'ИСХОДНЫЕ ДАННЫЕ'!$C$32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2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3">
        <f>IF('ИСХОДНЫЕ ДАННЫЕ'!$F$32="","—",'ИСХОДНЫЕ ДАННЫЕ'!$F$32)</f>
        <v/>
      </c>
      <c r="H29" s="64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5" t="inlineStr">
        <is>
          <t>1) без комиссии — в отделениях АО «Россельхозбанк» (банк, в котором открыт специальный счёт дома);</t>
        </is>
      </c>
      <c r="C32" s="66" t="n"/>
      <c r="D32" s="66" t="n"/>
      <c r="E32" s="66" t="n"/>
      <c r="F32" s="66" t="n"/>
      <c r="G32" s="67" t="n"/>
      <c r="H32" s="68" t="n"/>
    </row>
    <row r="33" ht="26" customHeight="1">
      <c r="B33" s="65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6" t="n"/>
      <c r="D33" s="66" t="n"/>
      <c r="E33" s="66" t="n"/>
      <c r="F33" s="66" t="n"/>
      <c r="G33" s="67" t="n"/>
      <c r="H33" s="68" t="n"/>
    </row>
    <row r="34" ht="14" customHeight="1">
      <c r="B34" s="65" t="n"/>
      <c r="C34" s="66" t="n"/>
      <c r="D34" s="66" t="n"/>
      <c r="E34" s="66" t="n"/>
      <c r="F34" s="66" t="n"/>
      <c r="G34" s="67" t="n"/>
      <c r="H34" s="68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7" t="n"/>
      <c r="H35" s="68" t="n"/>
    </row>
    <row r="36" ht="30" customHeight="1">
      <c r="B36" s="65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6" t="n"/>
      <c r="D36" s="66" t="n"/>
      <c r="E36" s="66" t="n"/>
      <c r="F36" s="66" t="n"/>
      <c r="G36" s="67" t="n"/>
      <c r="H36" s="68" t="n"/>
    </row>
    <row r="37" ht="26" customHeight="1">
      <c r="B37" s="69">
        <f>"Срок оплаты: до "&amp;'ИСХОДНЫЕ ДАННЫЕ'!$C$49&amp;" числа месяца, следующего за расчётным (за "&amp;"III квартал "&amp;'ИСХОДНЫЕ ДАННЫЕ'!$C$5&amp;" г."&amp;" — до "&amp;TEXT(DAY(DATE('ИСХОДНЫЕ ДАННЫЕ'!$C$5,9+1,'ИСХОДНЫЕ ДАННЫЕ'!$C$49)),"00")&amp;"."&amp;TEXT(MONTH(DATE('ИСХОДНЫЕ ДАННЫЕ'!$C$5,9+1,'ИСХОДНЫЕ ДАННЫЕ'!$C$49)),"00")&amp;"."&amp;YEAR(DATE('ИСХОДНЫЕ ДАННЫЕ'!$C$5,9+1,'ИСХОДНЫЕ ДАННЫЕ'!$C$49))&amp;")."&amp;CHAR(10)&amp;"Основание: ч. 1 ст. 155, ч. 2 ст. 171 ЖК РФ."</f>
        <v/>
      </c>
      <c r="C37" s="70" t="n"/>
      <c r="D37" s="70" t="n"/>
      <c r="E37" s="70" t="n"/>
      <c r="F37" s="70" t="n"/>
      <c r="G37" s="70" t="n"/>
      <c r="H37" s="71" t="n"/>
    </row>
    <row r="38" ht="5" customHeight="1"/>
    <row r="39" ht="32" customHeight="1">
      <c r="B39" s="72">
        <f>"ВНИМАНИЕ! ПЛАТИТЕ ТОЛЬКО ПО НОМЕРУ РАСЧЁТНОГО СЧЁТА "&amp;'ИСХОДНЫЕ ДАННЫЕ'!$C$44&amp;" — ЭТО СПЕЦИАЛЬНЫЙ СЧЁТ ВАШЕГО ДОМА"</f>
        <v/>
      </c>
      <c r="C39" s="72" t="n"/>
      <c r="D39" s="72" t="n"/>
      <c r="E39" s="72" t="n"/>
      <c r="F39" s="72" t="n"/>
      <c r="G39" s="72" t="n"/>
      <c r="H39" s="72" t="n"/>
    </row>
    <row r="40" ht="44" customHeight="1">
      <c r="B40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8" t="n"/>
      <c r="D40" s="58" t="n"/>
      <c r="E40" s="58" t="n"/>
      <c r="F40" s="58" t="n"/>
      <c r="G40" s="58" t="n"/>
      <c r="H40" s="58" t="n"/>
    </row>
    <row r="41" ht="6" customHeight="1"/>
    <row r="42" ht="24" customHeight="1">
      <c r="B42" s="73" t="inlineStr">
        <is>
          <t>Подпись плательщика  ______________________</t>
        </is>
      </c>
      <c r="C42" s="73" t="n"/>
      <c r="D42" s="73" t="n"/>
      <c r="E42" s="73" t="inlineStr">
        <is>
          <t>Кассир  ______________</t>
        </is>
      </c>
      <c r="F42" s="73" t="n"/>
      <c r="G42" s="73" t="inlineStr">
        <is>
          <t>Дата  ____________</t>
        </is>
      </c>
      <c r="H42" s="73" t="n"/>
    </row>
    <row r="43" ht="22" customHeight="1">
      <c r="B43" s="74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4" t="n"/>
      <c r="D43" s="74" t="n"/>
      <c r="E43" s="74" t="n"/>
      <c r="F43" s="74" t="n"/>
      <c r="G43" s="74" t="n"/>
      <c r="H43" s="74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8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8" t="n"/>
      <c r="D2" s="18" t="n"/>
      <c r="E2" s="18" t="n"/>
      <c r="F2" s="18" t="n"/>
      <c r="G2" s="18" t="n"/>
      <c r="H2" s="18" t="n"/>
    </row>
    <row r="3" ht="20" customHeight="1">
      <c r="B3" s="19">
        <f>"Специальный счёт МКД · "&amp;'ИСХОДНЫЕ ДАННЫЕ'!$C$14</f>
        <v/>
      </c>
      <c r="C3" s="20" t="n"/>
      <c r="D3" s="20" t="n"/>
      <c r="E3" s="20" t="n"/>
      <c r="F3" s="21">
        <f>"Расчётный период: "&amp;"IV квартал "&amp;'ИСХОДНЫЕ ДАННЫЕ'!$C$5&amp;" г."</f>
        <v/>
      </c>
      <c r="G3" s="21" t="n"/>
      <c r="H3" s="22" t="n"/>
    </row>
    <row r="4" ht="5" customHeight="1"/>
    <row r="5" ht="16" customHeight="1">
      <c r="B5" s="23" t="inlineStr">
        <is>
          <t>1. ПОЛУЧАТЕЛЬ ПЛАТЕЖА — ВЛАДЕЛЕЦ СПЕЦИАЛЬНОГО СЧЁТА</t>
        </is>
      </c>
      <c r="C5" s="24" t="n"/>
      <c r="D5" s="24" t="n"/>
      <c r="E5" s="24" t="n"/>
      <c r="F5" s="24" t="n"/>
      <c r="G5" s="24" t="n"/>
      <c r="H5" s="25" t="n"/>
    </row>
    <row r="6" ht="26" customHeight="1">
      <c r="B6" s="26" t="inlineStr">
        <is>
          <t>Получатель платежа</t>
        </is>
      </c>
      <c r="C6" s="27">
        <f>'ИСХОДНЫЕ ДАННЫЕ'!$C$39</f>
        <v/>
      </c>
      <c r="D6" s="27" t="n"/>
      <c r="E6" s="27" t="n"/>
      <c r="F6" s="27" t="n"/>
      <c r="G6" s="27" t="n"/>
      <c r="H6" s="28" t="n"/>
    </row>
    <row r="7" ht="14" customHeight="1">
      <c r="B7" s="29" t="inlineStr">
        <is>
          <t>Юридический адрес</t>
        </is>
      </c>
      <c r="C7" s="30">
        <f>'ИСХОДНЫЕ ДАННЫЕ'!$C$40</f>
        <v/>
      </c>
      <c r="D7" s="30" t="n"/>
      <c r="E7" s="30" t="n"/>
      <c r="F7" s="30" t="n"/>
      <c r="G7" s="30" t="n"/>
      <c r="H7" s="31" t="n"/>
    </row>
    <row r="8" ht="14" customHeight="1">
      <c r="B8" s="29" t="inlineStr">
        <is>
          <t>ИНН / КПП</t>
        </is>
      </c>
      <c r="C8" s="30">
        <f>'ИСХОДНЫЕ ДАННЫЕ'!$C$41&amp;" / "&amp;'ИСХОДНЫЕ ДАННЫЕ'!$C$42</f>
        <v/>
      </c>
      <c r="D8" s="30" t="n"/>
      <c r="E8" s="32" t="inlineStr">
        <is>
          <t>ОГРН</t>
        </is>
      </c>
      <c r="F8" s="30">
        <f>'ИСХОДНЫЕ ДАННЫЕ'!$C$43</f>
        <v/>
      </c>
      <c r="G8" s="30" t="n"/>
      <c r="H8" s="31" t="n"/>
    </row>
    <row r="9" ht="16" customHeight="1">
      <c r="B9" s="29" t="inlineStr">
        <is>
          <t>Расчётный счёт</t>
        </is>
      </c>
      <c r="C9" s="33">
        <f>'ИСХОДНЫЕ ДАННЫЕ'!$C$44&amp;"   (специальный счёт МКД: "&amp;'ИСХОДНЫЕ ДАННЫЕ'!$C$14&amp;")"</f>
        <v/>
      </c>
      <c r="D9" s="33" t="n"/>
      <c r="E9" s="33" t="n"/>
      <c r="F9" s="33" t="n"/>
      <c r="G9" s="33" t="n"/>
      <c r="H9" s="34" t="n"/>
    </row>
    <row r="10" ht="14" customHeight="1">
      <c r="B10" s="29" t="inlineStr">
        <is>
          <t>Банк</t>
        </is>
      </c>
      <c r="C10" s="30">
        <f>'ИСХОДНЫЕ ДАННЫЕ'!$C$45</f>
        <v/>
      </c>
      <c r="D10" s="30" t="n"/>
      <c r="E10" s="30" t="n"/>
      <c r="F10" s="30" t="n"/>
      <c r="G10" s="30" t="n"/>
      <c r="H10" s="31" t="n"/>
    </row>
    <row r="11" ht="14" customHeight="1">
      <c r="B11" s="35" t="inlineStr">
        <is>
          <t>Корр. счёт / БИК</t>
        </is>
      </c>
      <c r="C11" s="36">
        <f>'ИСХОДНЫЕ ДАННЫЕ'!$C$46&amp;" / "&amp;'ИСХОДНЫЕ ДАННЫЕ'!$C$47</f>
        <v/>
      </c>
      <c r="D11" s="36" t="n"/>
      <c r="E11" s="37" t="inlineStr">
        <is>
          <t>ИНН/КПП банка</t>
        </is>
      </c>
      <c r="F11" s="36">
        <f>'ИСХОДНЫЕ ДАННЫЕ'!$C$48</f>
        <v/>
      </c>
      <c r="G11" s="36" t="n"/>
      <c r="H11" s="38" t="n"/>
    </row>
    <row r="12" ht="5" customHeight="1"/>
    <row r="13" ht="16" customHeight="1">
      <c r="B13" s="23" t="inlineStr">
        <is>
          <t>2. ПЛАТЕЛЬЩИК И ПОМЕЩЕНИЕ</t>
        </is>
      </c>
      <c r="C13" s="24" t="n"/>
      <c r="D13" s="24" t="n"/>
      <c r="E13" s="24" t="n"/>
      <c r="F13" s="24" t="n"/>
      <c r="G13" s="24" t="n"/>
      <c r="H13" s="25" t="n"/>
    </row>
    <row r="14" ht="19" customHeight="1">
      <c r="B14" s="29" t="inlineStr">
        <is>
          <t>Лицевой счёт</t>
        </is>
      </c>
      <c r="C14" s="39">
        <f>'ИСХОДНЫЕ ДАННЫЕ'!$C$11</f>
        <v/>
      </c>
      <c r="D14" s="32" t="inlineStr">
        <is>
          <t>Квартира №</t>
        </is>
      </c>
      <c r="E14" s="40">
        <f>'ИСХОДНЫЕ ДАННЫЕ'!$C$12</f>
        <v/>
      </c>
      <c r="F14" s="41" t="inlineStr">
        <is>
          <t>Дата формирования</t>
        </is>
      </c>
      <c r="G14" s="42">
        <f>'ИСХОДНЫЕ ДАННЫЕ'!$E$33</f>
        <v/>
      </c>
      <c r="H14" s="43" t="n"/>
    </row>
    <row r="15" ht="17" customHeight="1">
      <c r="B15" s="29" t="inlineStr">
        <is>
          <t>Плательщик</t>
        </is>
      </c>
      <c r="C15" s="33">
        <f>'ИСХОДНЫЕ ДАННЫЕ'!$C$13</f>
        <v/>
      </c>
      <c r="D15" s="33" t="n"/>
      <c r="E15" s="33" t="n"/>
      <c r="F15" s="33" t="n"/>
      <c r="G15" s="33" t="n"/>
      <c r="H15" s="34" t="n"/>
    </row>
    <row r="16" ht="16" customHeight="1">
      <c r="B16" s="29" t="inlineStr">
        <is>
          <t>Адрес помещения</t>
        </is>
      </c>
      <c r="C16" s="30">
        <f>'ИСХОДНЫЕ ДАННЫЕ'!$C$14&amp;", кв. "&amp;'ИСХОДНЫЕ ДАННЫЕ'!$C$12</f>
        <v/>
      </c>
      <c r="D16" s="30" t="n"/>
      <c r="E16" s="30" t="n"/>
      <c r="F16" s="30" t="n"/>
      <c r="G16" s="30" t="n"/>
      <c r="H16" s="31" t="n"/>
    </row>
    <row r="17" ht="20" customHeight="1">
      <c r="B17" s="44" t="inlineStr">
        <is>
          <t>Площадь помещения, м²</t>
        </is>
      </c>
      <c r="C17" s="45">
        <f>'ИСХОДНЫЕ ДАННЫЕ'!$C$6</f>
        <v/>
      </c>
      <c r="D17" s="46" t="inlineStr">
        <is>
          <t>Размер взноса, руб./м²</t>
        </is>
      </c>
      <c r="E17" s="47">
        <f>'ИСХОДНЫЕ ДАННЫЕ'!$C$7</f>
        <v/>
      </c>
      <c r="F17" s="37" t="inlineStr">
        <is>
          <t>Период оплаты</t>
        </is>
      </c>
      <c r="G17" s="48">
        <f>"IV квартал "&amp;'ИСХОДНЫЕ ДАННЫЕ'!$C$5&amp;" г."</f>
        <v/>
      </c>
      <c r="H17" s="49" t="n"/>
    </row>
    <row r="18" ht="5" customHeight="1"/>
    <row r="19" ht="16" customHeight="1">
      <c r="B19" s="23" t="inlineStr">
        <is>
          <t>3. РАСЧЁТ РАЗМЕРА ВЗНОСА И СУММЫ К ОПЛАТЕ</t>
        </is>
      </c>
      <c r="C19" s="24" t="n"/>
      <c r="D19" s="24" t="n"/>
      <c r="E19" s="24" t="n"/>
      <c r="F19" s="24" t="n"/>
      <c r="G19" s="24" t="n"/>
      <c r="H19" s="25" t="n"/>
    </row>
    <row r="20" ht="18" customHeight="1">
      <c r="B20" s="50" t="inlineStr">
        <is>
          <t>Вид платежа</t>
        </is>
      </c>
      <c r="C20" s="51" t="n"/>
      <c r="D20" s="51" t="n"/>
      <c r="E20" s="51" t="n"/>
      <c r="F20" s="51" t="inlineStr">
        <is>
          <t>Расчётный период</t>
        </is>
      </c>
      <c r="G20" s="51" t="n"/>
      <c r="H20" s="52" t="inlineStr">
        <is>
          <t>Сумма, руб.</t>
        </is>
      </c>
    </row>
    <row r="21" ht="16" customHeight="1">
      <c r="B21" s="53" t="inlineStr">
        <is>
          <t>Взнос на капитальный ремонт (площадь × размер взноса)</t>
        </is>
      </c>
      <c r="C21" s="30" t="n"/>
      <c r="D21" s="30" t="n"/>
      <c r="E21" s="30" t="n"/>
      <c r="F21" s="54">
        <f>"октябрь "&amp;'ИСХОДНЫЕ ДАННЫЕ'!$C$5&amp;" г."</f>
        <v/>
      </c>
      <c r="G21" s="54" t="n"/>
      <c r="H21" s="55">
        <f>'ИСХОДНЫЕ ДАННЫЕ'!$C$8</f>
        <v/>
      </c>
    </row>
    <row r="22" ht="16" customHeight="1">
      <c r="B22" s="53" t="inlineStr">
        <is>
          <t>Взнос на капитальный ремонт (площадь × размер взноса)</t>
        </is>
      </c>
      <c r="C22" s="30" t="n"/>
      <c r="D22" s="30" t="n"/>
      <c r="E22" s="30" t="n"/>
      <c r="F22" s="54">
        <f>"ноябрь "&amp;'ИСХОДНЫЕ ДАННЫЕ'!$C$5&amp;" г."</f>
        <v/>
      </c>
      <c r="G22" s="54" t="n"/>
      <c r="H22" s="55">
        <f>'ИСХОДНЫЕ ДАННЫЕ'!$C$8</f>
        <v/>
      </c>
    </row>
    <row r="23" ht="16" customHeight="1">
      <c r="B23" s="53" t="inlineStr">
        <is>
          <t>Взнос на капитальный ремонт (площадь × размер взноса)</t>
        </is>
      </c>
      <c r="C23" s="30" t="n"/>
      <c r="D23" s="30" t="n"/>
      <c r="E23" s="30" t="n"/>
      <c r="F23" s="54">
        <f>"декабрь "&amp;'ИСХОДНЫЕ ДАННЫЕ'!$C$5&amp;" г."</f>
        <v/>
      </c>
      <c r="G23" s="54" t="n"/>
      <c r="H23" s="55">
        <f>'ИСХОДНЫЕ ДАННЫЕ'!$C$8</f>
        <v/>
      </c>
    </row>
    <row r="24" ht="17" customHeight="1">
      <c r="B24" s="56" t="inlineStr">
        <is>
          <t>Итого начислено за квартал</t>
        </is>
      </c>
      <c r="C24" s="57" t="n"/>
      <c r="D24" s="57" t="n"/>
      <c r="E24" s="57" t="n"/>
      <c r="F24" s="54">
        <f>"IV квартал "&amp;'ИСХОДНЫЕ ДАННЫЕ'!$C$5&amp;" г."</f>
        <v/>
      </c>
      <c r="G24" s="54" t="n"/>
      <c r="H24" s="55">
        <f>ROUND(SUM(H21:H23),2)</f>
        <v/>
      </c>
    </row>
    <row r="25" ht="17" customHeight="1">
      <c r="B25" s="53" t="inlineStr">
        <is>
          <t>Задолженность за предыдущие периоды</t>
        </is>
      </c>
      <c r="C25" s="30" t="n"/>
      <c r="D25" s="30" t="n"/>
      <c r="E25" s="30" t="n"/>
      <c r="F25" s="58">
        <f>IF('ИСХОДНЫЕ ДАННЫЕ'!$D$33="","",'ИСХОДНЫЕ ДАННЫЕ'!$D$33)</f>
        <v/>
      </c>
      <c r="G25" s="58" t="n"/>
      <c r="H25" s="55">
        <f>'ИСХОДНЫЕ ДАННЫЕ'!$C$33</f>
        <v/>
      </c>
    </row>
    <row r="26" ht="28" customHeight="1">
      <c r="B26" s="59" t="inlineStr">
        <is>
          <t>ИТОГО К ОПЛАТЕ</t>
        </is>
      </c>
      <c r="C26" s="60" t="n"/>
      <c r="D26" s="60" t="n"/>
      <c r="E26" s="60" t="n"/>
      <c r="F26" s="60" t="n"/>
      <c r="G26" s="60" t="n"/>
      <c r="H26" s="61">
        <f>ROUND(H24+H25,2)</f>
        <v/>
      </c>
    </row>
    <row r="27" ht="5" customHeight="1"/>
    <row r="28" ht="16" customHeight="1">
      <c r="B28" s="23" t="inlineStr">
        <is>
          <t>4. СПРАВОЧНАЯ ИНФОРМАЦИЯ ПО СПЕЦИАЛЬНОМУ СЧЁТУ (ч. 7 ст. 177 ЖК РФ)</t>
        </is>
      </c>
      <c r="C28" s="24" t="n"/>
      <c r="D28" s="24" t="n"/>
      <c r="E28" s="24" t="n"/>
      <c r="F28" s="24" t="n"/>
      <c r="G28" s="24" t="n"/>
      <c r="H28" s="25" t="n"/>
    </row>
    <row r="29" ht="15" customHeight="1">
      <c r="B29" s="62">
        <f>"Поступило оплат по лицевому счёту с начала "&amp;'ИСХОДНЫЕ ДАННЫЕ'!$C$5&amp;" года, руб."</f>
        <v/>
      </c>
      <c r="C29" s="36" t="n"/>
      <c r="D29" s="36" t="n"/>
      <c r="E29" s="36" t="n"/>
      <c r="F29" s="36" t="n"/>
      <c r="G29" s="63">
        <f>IF('ИСХОДНЫЕ ДАННЫЕ'!$F$33="","—",'ИСХОДНЫЕ ДАННЫЕ'!$F$33)</f>
        <v/>
      </c>
      <c r="H29" s="64" t="n"/>
    </row>
    <row r="30" ht="5" customHeight="1"/>
    <row r="31" ht="16" customHeight="1">
      <c r="B31" s="23" t="inlineStr">
        <is>
          <t>5. ПОРЯДОК ОПЛАТЫ</t>
        </is>
      </c>
      <c r="C31" s="24" t="n"/>
      <c r="D31" s="24" t="n"/>
      <c r="E31" s="24" t="n"/>
      <c r="F31" s="24" t="n"/>
      <c r="G31" s="24" t="n"/>
      <c r="H31" s="25" t="n"/>
    </row>
    <row r="32" ht="14" customHeight="1">
      <c r="B32" s="65" t="inlineStr">
        <is>
          <t>1) без комиссии — в отделениях АО «Россельхозбанк» (банк, в котором открыт специальный счёт дома);</t>
        </is>
      </c>
      <c r="C32" s="66" t="n"/>
      <c r="D32" s="66" t="n"/>
      <c r="E32" s="66" t="n"/>
      <c r="F32" s="66" t="n"/>
      <c r="G32" s="67" t="n"/>
      <c r="H32" s="68" t="n"/>
    </row>
    <row r="33" ht="26" customHeight="1">
      <c r="B33" s="65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6" t="n"/>
      <c r="D33" s="66" t="n"/>
      <c r="E33" s="66" t="n"/>
      <c r="F33" s="66" t="n"/>
      <c r="G33" s="67" t="n"/>
      <c r="H33" s="68" t="n"/>
    </row>
    <row r="34" ht="14" customHeight="1">
      <c r="B34" s="65" t="n"/>
      <c r="C34" s="66" t="n"/>
      <c r="D34" s="66" t="n"/>
      <c r="E34" s="66" t="n"/>
      <c r="F34" s="66" t="n"/>
      <c r="G34" s="67" t="n"/>
      <c r="H34" s="68" t="n"/>
    </row>
    <row r="35" ht="14" customHeight="1">
      <c r="B35" s="29" t="inlineStr">
        <is>
          <t>Назначение платежа:</t>
        </is>
      </c>
      <c r="C35" s="32" t="n"/>
      <c r="D35" s="32" t="n"/>
      <c r="E35" s="32" t="n"/>
      <c r="F35" s="32" t="n"/>
      <c r="G35" s="67" t="n"/>
      <c r="H35" s="68" t="n"/>
    </row>
    <row r="36" ht="30" customHeight="1">
      <c r="B36" s="65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6" t="n"/>
      <c r="D36" s="66" t="n"/>
      <c r="E36" s="66" t="n"/>
      <c r="F36" s="66" t="n"/>
      <c r="G36" s="67" t="n"/>
      <c r="H36" s="68" t="n"/>
    </row>
    <row r="37" ht="26" customHeight="1">
      <c r="B37" s="69">
        <f>"Срок оплаты: до "&amp;'ИСХОДНЫЕ ДАННЫЕ'!$C$49&amp;" числа месяца, следующего за расчётным (за "&amp;"IV квартал "&amp;'ИСХОДНЫЕ ДАННЫЕ'!$C$5&amp;" г."&amp;" — до "&amp;TEXT(DAY(DATE('ИСХОДНЫЕ ДАННЫЕ'!$C$5,12+1,'ИСХОДНЫЕ ДАННЫЕ'!$C$49)),"00")&amp;"."&amp;TEXT(MONTH(DATE('ИСХОДНЫЕ ДАННЫЕ'!$C$5,12+1,'ИСХОДНЫЕ ДАННЫЕ'!$C$49)),"00")&amp;"."&amp;YEAR(DATE('ИСХОДНЫЕ ДАННЫЕ'!$C$5,12+1,'ИСХОДНЫЕ ДАННЫЕ'!$C$49))&amp;")."&amp;CHAR(10)&amp;"Основание: ч. 1 ст. 155, ч. 2 ст. 171 ЖК РФ."</f>
        <v/>
      </c>
      <c r="C37" s="70" t="n"/>
      <c r="D37" s="70" t="n"/>
      <c r="E37" s="70" t="n"/>
      <c r="F37" s="70" t="n"/>
      <c r="G37" s="70" t="n"/>
      <c r="H37" s="71" t="n"/>
    </row>
    <row r="38" ht="5" customHeight="1"/>
    <row r="39" ht="32" customHeight="1">
      <c r="B39" s="72">
        <f>"ВНИМАНИЕ! ПЛАТИТЕ ТОЛЬКО ПО НОМЕРУ РАСЧЁТНОГО СЧЁТА "&amp;'ИСХОДНЫЕ ДАННЫЕ'!$C$44&amp;" — ЭТО СПЕЦИАЛЬНЫЙ СЧЁТ ВАШЕГО ДОМА"</f>
        <v/>
      </c>
      <c r="C39" s="72" t="n"/>
      <c r="D39" s="72" t="n"/>
      <c r="E39" s="72" t="n"/>
      <c r="F39" s="72" t="n"/>
      <c r="G39" s="72" t="n"/>
      <c r="H39" s="72" t="n"/>
    </row>
    <row r="40" ht="44" customHeight="1">
      <c r="B40" s="58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8" t="n"/>
      <c r="D40" s="58" t="n"/>
      <c r="E40" s="58" t="n"/>
      <c r="F40" s="58" t="n"/>
      <c r="G40" s="58" t="n"/>
      <c r="H40" s="58" t="n"/>
    </row>
    <row r="41" ht="6" customHeight="1"/>
    <row r="42" ht="24" customHeight="1">
      <c r="B42" s="73" t="inlineStr">
        <is>
          <t>Подпись плательщика  ______________________</t>
        </is>
      </c>
      <c r="C42" s="73" t="n"/>
      <c r="D42" s="73" t="n"/>
      <c r="E42" s="73" t="inlineStr">
        <is>
          <t>Кассир  ______________</t>
        </is>
      </c>
      <c r="F42" s="73" t="n"/>
      <c r="G42" s="73" t="inlineStr">
        <is>
          <t>Дата  ____________</t>
        </is>
      </c>
      <c r="H42" s="73" t="n"/>
    </row>
    <row r="43" ht="22" customHeight="1">
      <c r="B43" s="74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4" t="n"/>
      <c r="D43" s="74" t="n"/>
      <c r="E43" s="74" t="n"/>
      <c r="F43" s="74" t="n"/>
      <c r="G43" s="74" t="n"/>
      <c r="H43" s="74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5">
        <f>"В "&amp;'ИСХОДНЫЕ ДАННЫЕ'!$C$24</f>
        <v/>
      </c>
      <c r="E1" s="75" t="n"/>
      <c r="F1" s="75" t="n"/>
    </row>
    <row r="2" ht="16" customHeight="1">
      <c r="D2" s="75">
        <f>IF('ИСХОДНЫЕ ДАННЫЕ'!$C$26="","",'ИСХОДНЫЕ ДАННЫЕ'!$C$25&amp;" "&amp;'ИСХОДНЫЕ ДАННЫЕ'!$C$26)</f>
        <v/>
      </c>
      <c r="E2" s="75" t="n"/>
      <c r="F2" s="75" t="n"/>
    </row>
    <row r="3" ht="32" customHeight="1">
      <c r="D3" s="76">
        <f>"от Председателя МКД "&amp;'ИСХОДНЫЕ ДАННЫЕ'!$C$15&amp;", "&amp;'ИСХОДНЫЕ ДАННЫЕ'!$C$18</f>
        <v/>
      </c>
      <c r="E3" s="76" t="n"/>
      <c r="F3" s="76" t="n"/>
    </row>
    <row r="4" ht="32" customHeight="1">
      <c r="D4" s="76">
        <f>"проживающей по адресу: "&amp;'ИСХОДНЫЕ ДАННЫЕ'!$C$20</f>
        <v/>
      </c>
      <c r="E4" s="76" t="n"/>
      <c r="F4" s="76" t="n"/>
    </row>
    <row r="5" ht="16" customHeight="1">
      <c r="D5" s="76">
        <f>"Конт. тел.: "&amp;'ИСХОДНЫЕ ДАННЫЕ'!$C$21</f>
        <v/>
      </c>
      <c r="E5" s="76" t="n"/>
      <c r="F5" s="76" t="n"/>
    </row>
    <row r="6" ht="16" customHeight="1">
      <c r="D6" s="76">
        <f>"Эл. почта: "&amp;'ИСХОДНЫЕ ДАННЫЕ'!$C$22</f>
        <v/>
      </c>
      <c r="E6" s="76" t="n"/>
      <c r="F6" s="76" t="n"/>
    </row>
    <row r="7" ht="18" customHeight="1"/>
    <row r="8" ht="46" customHeight="1">
      <c r="B8" s="76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ДАННЫЕ'!$C$30,2),2))/1000)&gt;0,INT(INT(ROUND(ROUND(ROUND('ИСХОДНЫЕ ДАННЫЕ'!$C$8*3,2)+'ИСХОДНЫЕ ДАННЫЕ'!$C$30,2),2))/1000)&amp;" "&amp;TEXT((INT(ROUND(ROUND(ROUND('ИСХОДНЫЕ ДАННЫЕ'!$C$8*3,2)+'ИСХОДНЫЕ ДАННЫЕ'!$C$30,2),2))-INT(INT(ROUND(ROUND(ROUND('ИСХОДНЫЕ ДАННЫЕ'!$C$8*3,2)+'ИСХОДНЫЕ ДАННЫЕ'!$C$30,2),2))/1000)*1000),"000"),(INT(ROUND(ROUND(ROUND('ИСХОДНЫЕ ДАННЫЕ'!$C$8*3,2)+'ИСХОДНЫЕ ДАННЫЕ'!$C$30,2),2))-INT(INT(ROUND(ROUND(ROUND('ИСХОДНЫЕ ДАННЫЕ'!$C$8*3,2)+'ИСХОДНЫЕ ДАННЫЕ'!$C$30,2),2))/1000)*1000)&amp;"")&amp;","&amp;TEXT((ROUND(ROUND(ROUND(ROUND('ИСХОДНЫЕ ДАННЫЕ'!$C$8*3,2)+'ИСХОДНЫЕ ДАННЫЕ'!$C$30,2),2)*100,0)-INT(ROUND(ROUND(ROUND('ИСХОДНЫЕ ДАННЫЕ'!$C$8*3,2)+'ИСХОДНЫЕ ДАННЫЕ'!$C$30,2),2))*100),"00")&amp;" руб., в том числе:"</f>
        <v/>
      </c>
      <c r="C8" s="76" t="n"/>
      <c r="D8" s="76" t="n"/>
      <c r="E8" s="76" t="n"/>
      <c r="F8" s="76" t="n"/>
    </row>
    <row r="9" ht="8" customHeight="1"/>
    <row r="10" ht="32" customHeight="1">
      <c r="B10" s="76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6" t="n"/>
      <c r="D10" s="76" t="n"/>
      <c r="E10" s="76" t="n"/>
      <c r="F10" s="76" t="n"/>
    </row>
    <row r="11" ht="18" customHeight="1">
      <c r="B11" s="77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7" t="n"/>
      <c r="D11" s="77" t="n"/>
      <c r="E11" s="77" t="n"/>
      <c r="F11" s="77" t="n"/>
    </row>
    <row r="12" ht="6" customHeight="1"/>
    <row r="13" ht="32" customHeight="1">
      <c r="B13" s="76">
        <f>IF('ИСХОДНЫЕ ДАННЫЕ'!$C$30=0,"— задолженности за предыдущие периоды нет.","— задолженность "&amp;IF('ИСХОДНЫЕ ДАННЫЕ'!$D$30="","за предыдущие периоды",'ИСХОДНЫЕ ДАННЫЕ'!$D$30)&amp;" в размере "&amp;IF(INT(INT(ROUND('ИСХОДНЫЕ ДАННЫЕ'!$C$30,2))/1000)&gt;0,INT(INT(ROUND('ИСХОДНЫЕ ДАННЫЕ'!$C$30,2))/1000)&amp;" "&amp;TEXT((INT(ROUND('ИСХОДНЫЕ ДАННЫЕ'!$C$30,2))-INT(INT(ROUND('ИСХОДНЫЕ ДАННЫЕ'!$C$30,2))/1000)*1000),"000"),(INT(ROUND('ИСХОДНЫЕ ДАННЫЕ'!$C$30,2))-INT(INT(ROUND('ИСХОДНЫЕ ДАННЫЕ'!$C$30,2))/1000)*1000)&amp;"")&amp;","&amp;TEXT((ROUND(ROUND('ИСХОДНЫЕ ДАННЫЕ'!$C$30,2)*100,0)-INT(ROUND('ИСХОДНЫЕ ДАННЫЕ'!$C$30,2))*100),"00")&amp;" рублей")</f>
        <v/>
      </c>
      <c r="C13" s="76" t="n"/>
      <c r="D13" s="76" t="n"/>
      <c r="E13" s="76" t="n"/>
      <c r="F13" s="76" t="n"/>
    </row>
    <row r="14" ht="18" customHeight="1">
      <c r="B14" s="77">
        <f>IF('ИСХОДНЫЕ ДАННЫЕ'!$C$30=0,"","("&amp;UPPER(LEFT(IF(INT(INT(ROUND('ИСХОДНЫЕ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ДАННЫЕ'!$C$30,2))*100)+1),1))&amp;MID(IF(INT(INT(ROUND('ИСХОДНЫЕ ДАННЫЕ'!$C$30,2))/1000)&gt;0,INDEX('ПРОПИСЬ'!$D$2:$D$1001,INT(INT(ROUND('ИСХОДНЫЕ ДАННЫЕ'!$C$30,2))/1000)+1)&amp;" "&amp;INDEX('ПРОПИСЬ'!$E$2:$E$1001,INT(INT(ROUND('ИСХОДНЫЕ ДАННЫЕ'!$C$30,2))/1000)+1)&amp;" ","")&amp;IF(AND((INT(ROUND('ИСХОДНЫЕ ДАННЫЕ'!$C$30,2))-INT(INT(ROUND('ИСХОДНЫЕ ДАННЫЕ'!$C$30,2))/1000)*1000)=0,INT(INT(ROUND('ИСХОДНЫЕ ДАННЫЕ'!$C$30,2))/1000)&gt;0),"",INDEX('ПРОПИСЬ'!$B$2:$B$1001,(INT(ROUND('ИСХОДНЫЕ ДАННЫЕ'!$C$30,2))-INT(INT(ROUND('ИСХОДНЫЕ ДАННЫЕ'!$C$30,2))/1000)*1000)+1)&amp;" ")&amp;INDEX('ПРОПИСЬ'!$C$2:$C$1001,(INT(ROUND('ИСХОДНЫЕ ДАННЫЕ'!$C$30,2))-INT(INT(ROUND('ИСХОДНЫЕ ДАННЫЕ'!$C$30,2))/1000)*1000)+1)&amp;" "&amp;INDEX('ПРОПИСЬ'!$D$2:$D$1001,(ROUND(ROUND('ИСХОДНЫЕ ДАННЫЕ'!$C$30,2)*100,0)-INT(ROUND('ИСХОДНЫЕ ДАННЫЕ'!$C$30,2))*100)+1)&amp;" "&amp;INDEX('ПРОПИСЬ'!$F$2:$F$1001,(ROUND(ROUND('ИСХОДНЫЕ ДАННЫЕ'!$C$30,2)*100,0)-INT(ROUND('ИСХОДНЫЕ ДАННЫЕ'!$C$30,2))*100)+1),2,300)&amp;").")</f>
        <v/>
      </c>
      <c r="C14" s="77" t="n"/>
      <c r="D14" s="77" t="n"/>
      <c r="E14" s="77" t="n"/>
      <c r="F14" s="77" t="n"/>
    </row>
    <row r="15" ht="10" customHeight="1"/>
    <row r="16" ht="76" customHeight="1">
      <c r="B16" s="76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ДАННЫЕ'!$E$30),"00")&amp;"."&amp;TEXT(MONTH('ИСХОДНЫЕ ДАННЫЕ'!$E$30),"00")&amp;"."&amp;YEAR('ИСХОДНЫЕ ДАННЫЕ'!$E$30)&amp;" и с учётом начислений по "&amp;"март "&amp;'ИСХОДНЫЕ ДАННЫЕ'!$C$5&amp;" года включительно."</f>
        <v/>
      </c>
      <c r="C16" s="76" t="n"/>
      <c r="D16" s="76" t="n"/>
      <c r="E16" s="76" t="n"/>
      <c r="F16" s="76" t="n"/>
    </row>
    <row r="17" ht="10" customHeight="1"/>
    <row r="18" ht="46" customHeight="1">
      <c r="B18" s="76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6" t="n"/>
      <c r="D18" s="76" t="n"/>
      <c r="E18" s="76" t="n"/>
      <c r="F18" s="76" t="n"/>
    </row>
    <row r="19" ht="14" customHeight="1"/>
    <row r="20" ht="20" customHeight="1">
      <c r="B20" s="75" t="inlineStr">
        <is>
          <t>ПРИЛОЖЕНИЯ:</t>
        </is>
      </c>
      <c r="C20" s="75" t="n"/>
      <c r="D20" s="75" t="n"/>
      <c r="E20" s="75" t="n"/>
      <c r="F20" s="75" t="n"/>
    </row>
    <row r="21" ht="18" customHeight="1">
      <c r="B21" s="76">
        <f>"1) Акт взаимных расчётов по состоянию на "&amp;TEXT(DAY('ИСХОДНЫЕ ДАННЫЕ'!$E$30),"00")&amp;"."&amp;TEXT(MONTH('ИСХОДНЫЕ ДАННЫЕ'!$E$30),"00")&amp;"."&amp;YEAR('ИСХОДНЫЕ ДАННЫЕ'!$E$30)&amp;" — один экземпляр на 1 л."</f>
        <v/>
      </c>
      <c r="C21" s="76" t="n"/>
      <c r="D21" s="76" t="n"/>
      <c r="E21" s="76" t="n"/>
      <c r="F21" s="76" t="n"/>
    </row>
    <row r="22" ht="18" customHeight="1">
      <c r="B22" s="76">
        <f>"2) Квитанция для оплаты за "&amp;"I квартал "&amp;'ИСХОДНЫЕ ДАННЫЕ'!$C$5&amp;" г."&amp;" — один экземпляр на 1 л."</f>
        <v/>
      </c>
      <c r="C22" s="76" t="n"/>
      <c r="D22" s="76" t="n"/>
      <c r="E22" s="76" t="n"/>
      <c r="F22" s="76" t="n"/>
    </row>
    <row r="23" ht="26" customHeight="1"/>
    <row r="24" ht="20" customHeight="1">
      <c r="B24" s="76">
        <f>"«______» ______________ "&amp;'ИСХОДНЫЕ ДАННЫЕ'!$C$5&amp;" г."</f>
        <v/>
      </c>
      <c r="C24" s="76" t="n"/>
    </row>
    <row r="25" ht="16" customHeight="1"/>
    <row r="26" ht="16" customHeight="1">
      <c r="B26" s="76" t="inlineStr">
        <is>
          <t>Председатель</t>
        </is>
      </c>
      <c r="C26" s="76" t="n"/>
    </row>
    <row r="27" ht="16" customHeight="1">
      <c r="B27" s="76">
        <f>"МКД "&amp;'ИСХОДНЫЕ ДАННЫЕ'!$C$15</f>
        <v/>
      </c>
      <c r="C27" s="76" t="n"/>
      <c r="D27" s="78">
        <f>"___________________  /"&amp;'ИСХОДНЫЕ ДАННЫЕ'!$C$19&amp;"/"</f>
        <v/>
      </c>
      <c r="E27" s="78" t="n"/>
      <c r="F27" s="78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5">
        <f>"В "&amp;'ИСХОДНЫЕ ДАННЫЕ'!$C$24</f>
        <v/>
      </c>
      <c r="E1" s="75" t="n"/>
      <c r="F1" s="75" t="n"/>
    </row>
    <row r="2" ht="16" customHeight="1">
      <c r="D2" s="75">
        <f>IF('ИСХОДНЫЕ ДАННЫЕ'!$C$26="","",'ИСХОДНЫЕ ДАННЫЕ'!$C$25&amp;" "&amp;'ИСХОДНЫЕ ДАННЫЕ'!$C$26)</f>
        <v/>
      </c>
      <c r="E2" s="75" t="n"/>
      <c r="F2" s="75" t="n"/>
    </row>
    <row r="3" ht="32" customHeight="1">
      <c r="D3" s="76">
        <f>"от Председателя МКД "&amp;'ИСХОДНЫЕ ДАННЫЕ'!$C$15&amp;", "&amp;'ИСХОДНЫЕ ДАННЫЕ'!$C$18</f>
        <v/>
      </c>
      <c r="E3" s="76" t="n"/>
      <c r="F3" s="76" t="n"/>
    </row>
    <row r="4" ht="32" customHeight="1">
      <c r="D4" s="76">
        <f>"проживающей по адресу: "&amp;'ИСХОДНЫЕ ДАННЫЕ'!$C$20</f>
        <v/>
      </c>
      <c r="E4" s="76" t="n"/>
      <c r="F4" s="76" t="n"/>
    </row>
    <row r="5" ht="16" customHeight="1">
      <c r="D5" s="76">
        <f>"Конт. тел.: "&amp;'ИСХОДНЫЕ ДАННЫЕ'!$C$21</f>
        <v/>
      </c>
      <c r="E5" s="76" t="n"/>
      <c r="F5" s="76" t="n"/>
    </row>
    <row r="6" ht="16" customHeight="1">
      <c r="D6" s="76">
        <f>"Эл. почта: "&amp;'ИСХОДНЫЕ ДАННЫЕ'!$C$22</f>
        <v/>
      </c>
      <c r="E6" s="76" t="n"/>
      <c r="F6" s="76" t="n"/>
    </row>
    <row r="7" ht="18" customHeight="1"/>
    <row r="8" ht="46" customHeight="1">
      <c r="B8" s="76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ДАННЫЕ'!$C$31,2),2))/1000)&gt;0,INT(INT(ROUND(ROUND(ROUND('ИСХОДНЫЕ ДАННЫЕ'!$C$8*3,2)+'ИСХОДНЫЕ ДАННЫЕ'!$C$31,2),2))/1000)&amp;" "&amp;TEXT((INT(ROUND(ROUND(ROUND('ИСХОДНЫЕ ДАННЫЕ'!$C$8*3,2)+'ИСХОДНЫЕ ДАННЫЕ'!$C$31,2),2))-INT(INT(ROUND(ROUND(ROUND('ИСХОДНЫЕ ДАННЫЕ'!$C$8*3,2)+'ИСХОДНЫЕ ДАННЫЕ'!$C$31,2),2))/1000)*1000),"000"),(INT(ROUND(ROUND(ROUND('ИСХОДНЫЕ ДАННЫЕ'!$C$8*3,2)+'ИСХОДНЫЕ ДАННЫЕ'!$C$31,2),2))-INT(INT(ROUND(ROUND(ROUND('ИСХОДНЫЕ ДАННЫЕ'!$C$8*3,2)+'ИСХОДНЫЕ ДАННЫЕ'!$C$31,2),2))/1000)*1000)&amp;"")&amp;","&amp;TEXT((ROUND(ROUND(ROUND(ROUND('ИСХОДНЫЕ ДАННЫЕ'!$C$8*3,2)+'ИСХОДНЫЕ ДАННЫЕ'!$C$31,2),2)*100,0)-INT(ROUND(ROUND(ROUND('ИСХОДНЫЕ ДАННЫЕ'!$C$8*3,2)+'ИСХОДНЫЕ ДАННЫЕ'!$C$31,2),2))*100),"00")&amp;" руб., в том числе:"</f>
        <v/>
      </c>
      <c r="C8" s="76" t="n"/>
      <c r="D8" s="76" t="n"/>
      <c r="E8" s="76" t="n"/>
      <c r="F8" s="76" t="n"/>
    </row>
    <row r="9" ht="8" customHeight="1"/>
    <row r="10" ht="32" customHeight="1">
      <c r="B10" s="76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6" t="n"/>
      <c r="D10" s="76" t="n"/>
      <c r="E10" s="76" t="n"/>
      <c r="F10" s="76" t="n"/>
    </row>
    <row r="11" ht="18" customHeight="1">
      <c r="B11" s="77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7" t="n"/>
      <c r="D11" s="77" t="n"/>
      <c r="E11" s="77" t="n"/>
      <c r="F11" s="77" t="n"/>
    </row>
    <row r="12" ht="6" customHeight="1"/>
    <row r="13" ht="32" customHeight="1">
      <c r="B13" s="76">
        <f>IF('ИСХОДНЫЕ ДАННЫЕ'!$C$31=0,"— задолженности за предыдущие периоды нет.","—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</f>
        <v/>
      </c>
      <c r="C13" s="76" t="n"/>
      <c r="D13" s="76" t="n"/>
      <c r="E13" s="76" t="n"/>
      <c r="F13" s="76" t="n"/>
    </row>
    <row r="14" ht="18" customHeight="1">
      <c r="B14" s="77">
        <f>IF('ИСХОДНЫЕ ДАННЫЕ'!$C$31=0,"","("&amp;UPPER(LEFT(IF(INT(INT(ROUND('ИСХОДНЫЕ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ДАННЫЕ'!$C$31,2))*100)+1),1))&amp;MID(IF(INT(INT(ROUND('ИСХОДНЫЕ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ДАННЫЕ'!$C$31,2))*100)+1),2,300)&amp;").")</f>
        <v/>
      </c>
      <c r="C14" s="77" t="n"/>
      <c r="D14" s="77" t="n"/>
      <c r="E14" s="77" t="n"/>
      <c r="F14" s="77" t="n"/>
    </row>
    <row r="15" ht="10" customHeight="1"/>
    <row r="16" ht="76" customHeight="1">
      <c r="B16" s="76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"&amp;"июнь "&amp;'ИСХОДНЫЕ ДАННЫЕ'!$C$5&amp;" года включительно."</f>
        <v/>
      </c>
      <c r="C16" s="76" t="n"/>
      <c r="D16" s="76" t="n"/>
      <c r="E16" s="76" t="n"/>
      <c r="F16" s="76" t="n"/>
    </row>
    <row r="17" ht="10" customHeight="1"/>
    <row r="18" ht="46" customHeight="1">
      <c r="B18" s="76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6" t="n"/>
      <c r="D18" s="76" t="n"/>
      <c r="E18" s="76" t="n"/>
      <c r="F18" s="76" t="n"/>
    </row>
    <row r="19" ht="14" customHeight="1"/>
    <row r="20" ht="20" customHeight="1">
      <c r="B20" s="75" t="inlineStr">
        <is>
          <t>ПРИЛОЖЕНИЯ:</t>
        </is>
      </c>
      <c r="C20" s="75" t="n"/>
      <c r="D20" s="75" t="n"/>
      <c r="E20" s="75" t="n"/>
      <c r="F20" s="75" t="n"/>
    </row>
    <row r="21" ht="18" customHeight="1">
      <c r="B21" s="76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76" t="n"/>
      <c r="D21" s="76" t="n"/>
      <c r="E21" s="76" t="n"/>
      <c r="F21" s="76" t="n"/>
    </row>
    <row r="22" ht="18" customHeight="1">
      <c r="B22" s="76">
        <f>"2) Квитанция для оплаты за "&amp;"II квартал "&amp;'ИСХОДНЫЕ ДАННЫЕ'!$C$5&amp;" г."&amp;" — один экземпляр на 1 л."</f>
        <v/>
      </c>
      <c r="C22" s="76" t="n"/>
      <c r="D22" s="76" t="n"/>
      <c r="E22" s="76" t="n"/>
      <c r="F22" s="76" t="n"/>
    </row>
    <row r="23" ht="26" customHeight="1"/>
    <row r="24" ht="20" customHeight="1">
      <c r="B24" s="76">
        <f>"«______» ______________ "&amp;'ИСХОДНЫЕ ДАННЫЕ'!$C$5&amp;" г."</f>
        <v/>
      </c>
      <c r="C24" s="76" t="n"/>
    </row>
    <row r="25" ht="16" customHeight="1"/>
    <row r="26" ht="16" customHeight="1">
      <c r="B26" s="76" t="inlineStr">
        <is>
          <t>Председатель</t>
        </is>
      </c>
      <c r="C26" s="76" t="n"/>
    </row>
    <row r="27" ht="16" customHeight="1">
      <c r="B27" s="76">
        <f>"МКД "&amp;'ИСХОДНЫЕ ДАННЫЕ'!$C$15</f>
        <v/>
      </c>
      <c r="C27" s="76" t="n"/>
      <c r="D27" s="78">
        <f>"___________________  /"&amp;'ИСХОДНЫЕ ДАННЫЕ'!$C$19&amp;"/"</f>
        <v/>
      </c>
      <c r="E27" s="78" t="n"/>
      <c r="F27" s="78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5">
        <f>"В "&amp;'ИСХОДНЫЕ ДАННЫЕ'!$C$24</f>
        <v/>
      </c>
      <c r="E1" s="75" t="n"/>
      <c r="F1" s="75" t="n"/>
    </row>
    <row r="2" ht="16" customHeight="1">
      <c r="D2" s="75">
        <f>IF('ИСХОДНЫЕ ДАННЫЕ'!$C$26="","",'ИСХОДНЫЕ ДАННЫЕ'!$C$25&amp;" "&amp;'ИСХОДНЫЕ ДАННЫЕ'!$C$26)</f>
        <v/>
      </c>
      <c r="E2" s="75" t="n"/>
      <c r="F2" s="75" t="n"/>
    </row>
    <row r="3" ht="32" customHeight="1">
      <c r="D3" s="76">
        <f>"от Председателя МКД "&amp;'ИСХОДНЫЕ ДАННЫЕ'!$C$15&amp;", "&amp;'ИСХОДНЫЕ ДАННЫЕ'!$C$18</f>
        <v/>
      </c>
      <c r="E3" s="76" t="n"/>
      <c r="F3" s="76" t="n"/>
    </row>
    <row r="4" ht="32" customHeight="1">
      <c r="D4" s="76">
        <f>"проживающей по адресу: "&amp;'ИСХОДНЫЕ ДАННЫЕ'!$C$20</f>
        <v/>
      </c>
      <c r="E4" s="76" t="n"/>
      <c r="F4" s="76" t="n"/>
    </row>
    <row r="5" ht="16" customHeight="1">
      <c r="D5" s="76">
        <f>"Конт. тел.: "&amp;'ИСХОДНЫЕ ДАННЫЕ'!$C$21</f>
        <v/>
      </c>
      <c r="E5" s="76" t="n"/>
      <c r="F5" s="76" t="n"/>
    </row>
    <row r="6" ht="16" customHeight="1">
      <c r="D6" s="76">
        <f>"Эл. почта: "&amp;'ИСХОДНЫЕ ДАННЫЕ'!$C$22</f>
        <v/>
      </c>
      <c r="E6" s="76" t="n"/>
      <c r="F6" s="76" t="n"/>
    </row>
    <row r="7" ht="18" customHeight="1"/>
    <row r="8" ht="46" customHeight="1">
      <c r="B8" s="76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ДАННЫЕ'!$C$32,2),2))/1000)&gt;0,INT(INT(ROUND(ROUND(ROUND('ИСХОДНЫЕ ДАННЫЕ'!$C$8*3,2)+'ИСХОДНЫЕ ДАННЫЕ'!$C$32,2),2))/1000)&amp;" "&amp;TEXT((INT(ROUND(ROUND(ROUND('ИСХОДНЫЕ ДАННЫЕ'!$C$8*3,2)+'ИСХОДНЫЕ ДАННЫЕ'!$C$32,2),2))-INT(INT(ROUND(ROUND(ROUND('ИСХОДНЫЕ ДАННЫЕ'!$C$8*3,2)+'ИСХОДНЫЕ ДАННЫЕ'!$C$32,2),2))/1000)*1000),"000"),(INT(ROUND(ROUND(ROUND('ИСХОДНЫЕ ДАННЫЕ'!$C$8*3,2)+'ИСХОДНЫЕ ДАННЫЕ'!$C$32,2),2))-INT(INT(ROUND(ROUND(ROUND('ИСХОДНЫЕ ДАННЫЕ'!$C$8*3,2)+'ИСХОДНЫЕ ДАННЫЕ'!$C$32,2),2))/1000)*1000)&amp;"")&amp;","&amp;TEXT((ROUND(ROUND(ROUND(ROUND('ИСХОДНЫЕ ДАННЫЕ'!$C$8*3,2)+'ИСХОДНЫЕ ДАННЫЕ'!$C$32,2),2)*100,0)-INT(ROUND(ROUND(ROUND('ИСХОДНЫЕ ДАННЫЕ'!$C$8*3,2)+'ИСХОДНЫЕ ДАННЫЕ'!$C$32,2),2))*100),"00")&amp;" руб., в том числе:"</f>
        <v/>
      </c>
      <c r="C8" s="76" t="n"/>
      <c r="D8" s="76" t="n"/>
      <c r="E8" s="76" t="n"/>
      <c r="F8" s="76" t="n"/>
    </row>
    <row r="9" ht="8" customHeight="1"/>
    <row r="10" ht="32" customHeight="1">
      <c r="B10" s="76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6" t="n"/>
      <c r="D10" s="76" t="n"/>
      <c r="E10" s="76" t="n"/>
      <c r="F10" s="76" t="n"/>
    </row>
    <row r="11" ht="18" customHeight="1">
      <c r="B11" s="77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7" t="n"/>
      <c r="D11" s="77" t="n"/>
      <c r="E11" s="77" t="n"/>
      <c r="F11" s="77" t="n"/>
    </row>
    <row r="12" ht="6" customHeight="1"/>
    <row r="13" ht="32" customHeight="1">
      <c r="B13" s="76">
        <f>IF('ИСХОДНЫЕ ДАННЫЕ'!$C$32=0,"— задолженности за предыдущие периоды нет.","—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</f>
        <v/>
      </c>
      <c r="C13" s="76" t="n"/>
      <c r="D13" s="76" t="n"/>
      <c r="E13" s="76" t="n"/>
      <c r="F13" s="76" t="n"/>
    </row>
    <row r="14" ht="18" customHeight="1">
      <c r="B14" s="77">
        <f>IF('ИСХОДНЫЕ ДАННЫЕ'!$C$32=0,"","("&amp;UPPER(LEFT(IF(INT(INT(ROUND('ИСХОДНЫЕ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ДАННЫЕ'!$C$32,2))*100)+1),1))&amp;MID(IF(INT(INT(ROUND('ИСХОДНЫЕ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ДАННЫЕ'!$C$32,2))*100)+1),2,300)&amp;").")</f>
        <v/>
      </c>
      <c r="C14" s="77" t="n"/>
      <c r="D14" s="77" t="n"/>
      <c r="E14" s="77" t="n"/>
      <c r="F14" s="77" t="n"/>
    </row>
    <row r="15" ht="10" customHeight="1"/>
    <row r="16" ht="76" customHeight="1">
      <c r="B16" s="76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"&amp;"сентябрь "&amp;'ИСХОДНЫЕ ДАННЫЕ'!$C$5&amp;" года включительно."</f>
        <v/>
      </c>
      <c r="C16" s="76" t="n"/>
      <c r="D16" s="76" t="n"/>
      <c r="E16" s="76" t="n"/>
      <c r="F16" s="76" t="n"/>
    </row>
    <row r="17" ht="10" customHeight="1"/>
    <row r="18" ht="46" customHeight="1">
      <c r="B18" s="76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6" t="n"/>
      <c r="D18" s="76" t="n"/>
      <c r="E18" s="76" t="n"/>
      <c r="F18" s="76" t="n"/>
    </row>
    <row r="19" ht="14" customHeight="1"/>
    <row r="20" ht="20" customHeight="1">
      <c r="B20" s="75" t="inlineStr">
        <is>
          <t>ПРИЛОЖЕНИЯ:</t>
        </is>
      </c>
      <c r="C20" s="75" t="n"/>
      <c r="D20" s="75" t="n"/>
      <c r="E20" s="75" t="n"/>
      <c r="F20" s="75" t="n"/>
    </row>
    <row r="21" ht="18" customHeight="1">
      <c r="B21" s="76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76" t="n"/>
      <c r="D21" s="76" t="n"/>
      <c r="E21" s="76" t="n"/>
      <c r="F21" s="76" t="n"/>
    </row>
    <row r="22" ht="18" customHeight="1">
      <c r="B22" s="76">
        <f>"2) Квитанция для оплаты за "&amp;"III квартал "&amp;'ИСХОДНЫЕ ДАННЫЕ'!$C$5&amp;" г."&amp;" — один экземпляр на 1 л."</f>
        <v/>
      </c>
      <c r="C22" s="76" t="n"/>
      <c r="D22" s="76" t="n"/>
      <c r="E22" s="76" t="n"/>
      <c r="F22" s="76" t="n"/>
    </row>
    <row r="23" ht="26" customHeight="1"/>
    <row r="24" ht="20" customHeight="1">
      <c r="B24" s="76">
        <f>"«______» ______________ "&amp;'ИСХОДНЫЕ ДАННЫЕ'!$C$5&amp;" г."</f>
        <v/>
      </c>
      <c r="C24" s="76" t="n"/>
    </row>
    <row r="25" ht="16" customHeight="1"/>
    <row r="26" ht="16" customHeight="1">
      <c r="B26" s="76" t="inlineStr">
        <is>
          <t>Председатель</t>
        </is>
      </c>
      <c r="C26" s="76" t="n"/>
    </row>
    <row r="27" ht="16" customHeight="1">
      <c r="B27" s="76">
        <f>"МКД "&amp;'ИСХОДНЫЕ ДАННЫЕ'!$C$15</f>
        <v/>
      </c>
      <c r="C27" s="76" t="n"/>
      <c r="D27" s="78">
        <f>"___________________  /"&amp;'ИСХОДНЫЕ ДАННЫЕ'!$C$19&amp;"/"</f>
        <v/>
      </c>
      <c r="E27" s="78" t="n"/>
      <c r="F27" s="78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20" customWidth="1" min="4" max="4"/>
    <col width="20" customWidth="1" min="5" max="5"/>
    <col width="22" customWidth="1" min="6" max="6"/>
    <col width="2" customWidth="1" min="7" max="7"/>
  </cols>
  <sheetData>
    <row r="1" ht="32" customHeight="1">
      <c r="D1" s="75">
        <f>"В "&amp;'ИСХОДНЫЕ ДАННЫЕ'!$C$24</f>
        <v/>
      </c>
      <c r="E1" s="75" t="n"/>
      <c r="F1" s="75" t="n"/>
    </row>
    <row r="2" ht="16" customHeight="1">
      <c r="D2" s="75">
        <f>IF('ИСХОДНЫЕ ДАННЫЕ'!$C$26="","",'ИСХОДНЫЕ ДАННЫЕ'!$C$25&amp;" "&amp;'ИСХОДНЫЕ ДАННЫЕ'!$C$26)</f>
        <v/>
      </c>
      <c r="E2" s="75" t="n"/>
      <c r="F2" s="75" t="n"/>
    </row>
    <row r="3" ht="32" customHeight="1">
      <c r="D3" s="76">
        <f>"от Председателя МКД "&amp;'ИСХОДНЫЕ ДАННЫЕ'!$C$15&amp;", "&amp;'ИСХОДНЫЕ ДАННЫЕ'!$C$18</f>
        <v/>
      </c>
      <c r="E3" s="76" t="n"/>
      <c r="F3" s="76" t="n"/>
    </row>
    <row r="4" ht="32" customHeight="1">
      <c r="D4" s="76">
        <f>"проживающей по адресу: "&amp;'ИСХОДНЫЕ ДАННЫЕ'!$C$20</f>
        <v/>
      </c>
      <c r="E4" s="76" t="n"/>
      <c r="F4" s="76" t="n"/>
    </row>
    <row r="5" ht="16" customHeight="1">
      <c r="D5" s="76">
        <f>"Конт. тел.: "&amp;'ИСХОДНЫЕ ДАННЫЕ'!$C$21</f>
        <v/>
      </c>
      <c r="E5" s="76" t="n"/>
      <c r="F5" s="76" t="n"/>
    </row>
    <row r="6" ht="16" customHeight="1">
      <c r="D6" s="76">
        <f>"Эл. почта: "&amp;'ИСХОДНЫЕ ДАННЫЕ'!$C$22</f>
        <v/>
      </c>
      <c r="E6" s="76" t="n"/>
      <c r="F6" s="76" t="n"/>
    </row>
    <row r="7" ht="18" customHeight="1"/>
    <row r="8" ht="46" customHeight="1">
      <c r="B8" s="76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ДАННЫЕ'!$C$33,2),2))/1000)&gt;0,INT(INT(ROUND(ROUND(ROUND('ИСХОДНЫЕ ДАННЫЕ'!$C$8*3,2)+'ИСХОДНЫЕ ДАННЫЕ'!$C$33,2),2))/1000)&amp;" "&amp;TEXT((INT(ROUND(ROUND(ROUND('ИСХОДНЫЕ ДАННЫЕ'!$C$8*3,2)+'ИСХОДНЫЕ ДАННЫЕ'!$C$33,2),2))-INT(INT(ROUND(ROUND(ROUND('ИСХОДНЫЕ ДАННЫЕ'!$C$8*3,2)+'ИСХОДНЫЕ ДАННЫЕ'!$C$33,2),2))/1000)*1000),"000"),(INT(ROUND(ROUND(ROUND('ИСХОДНЫЕ ДАННЫЕ'!$C$8*3,2)+'ИСХОДНЫЕ ДАННЫЕ'!$C$33,2),2))-INT(INT(ROUND(ROUND(ROUND('ИСХОДНЫЕ ДАННЫЕ'!$C$8*3,2)+'ИСХОДНЫЕ ДАННЫЕ'!$C$33,2),2))/1000)*1000)&amp;"")&amp;","&amp;TEXT((ROUND(ROUND(ROUND(ROUND('ИСХОДНЫЕ ДАННЫЕ'!$C$8*3,2)+'ИСХОДНЫЕ ДАННЫЕ'!$C$33,2),2)*100,0)-INT(ROUND(ROUND(ROUND('ИСХОДНЫЕ ДАННЫЕ'!$C$8*3,2)+'ИСХОДНЫЕ ДАННЫЕ'!$C$33,2),2))*100),"00")&amp;" руб., в том числе:"</f>
        <v/>
      </c>
      <c r="C8" s="76" t="n"/>
      <c r="D8" s="76" t="n"/>
      <c r="E8" s="76" t="n"/>
      <c r="F8" s="76" t="n"/>
    </row>
    <row r="9" ht="8" customHeight="1"/>
    <row r="10" ht="32" customHeight="1">
      <c r="B10" s="76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6" t="n"/>
      <c r="D10" s="76" t="n"/>
      <c r="E10" s="76" t="n"/>
      <c r="F10" s="76" t="n"/>
    </row>
    <row r="11" ht="18" customHeight="1">
      <c r="B11" s="77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7" t="n"/>
      <c r="D11" s="77" t="n"/>
      <c r="E11" s="77" t="n"/>
      <c r="F11" s="77" t="n"/>
    </row>
    <row r="12" ht="6" customHeight="1"/>
    <row r="13" ht="32" customHeight="1">
      <c r="B13" s="76">
        <f>IF('ИСХОДНЫЕ ДАННЫЕ'!$C$33=0,"— задолженности за предыдущие периоды нет.","—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</f>
        <v/>
      </c>
      <c r="C13" s="76" t="n"/>
      <c r="D13" s="76" t="n"/>
      <c r="E13" s="76" t="n"/>
      <c r="F13" s="76" t="n"/>
    </row>
    <row r="14" ht="18" customHeight="1">
      <c r="B14" s="77">
        <f>IF('ИСХОДНЫЕ ДАННЫЕ'!$C$33=0,"","("&amp;UPPER(LEFT(IF(INT(INT(ROUND('ИСХОДНЫЕ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ДАННЫЕ'!$C$33,2))*100)+1),1))&amp;MID(IF(INT(INT(ROUND('ИСХОДНЫЕ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ДАННЫЕ'!$C$33,2))*100)+1),2,300)&amp;").")</f>
        <v/>
      </c>
      <c r="C14" s="77" t="n"/>
      <c r="D14" s="77" t="n"/>
      <c r="E14" s="77" t="n"/>
      <c r="F14" s="77" t="n"/>
    </row>
    <row r="15" ht="10" customHeight="1"/>
    <row r="16" ht="76" customHeight="1">
      <c r="B16" s="76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ДАННЫЕ'!$C$44&amp;")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"&amp;"декабрь "&amp;'ИСХОДНЫЕ ДАННЫЕ'!$C$5&amp;" года включительно."</f>
        <v/>
      </c>
      <c r="C16" s="76" t="n"/>
      <c r="D16" s="76" t="n"/>
      <c r="E16" s="76" t="n"/>
      <c r="F16" s="76" t="n"/>
    </row>
    <row r="17" ht="10" customHeight="1"/>
    <row r="18" ht="46" customHeight="1">
      <c r="B18" s="76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6" t="n"/>
      <c r="D18" s="76" t="n"/>
      <c r="E18" s="76" t="n"/>
      <c r="F18" s="76" t="n"/>
    </row>
    <row r="19" ht="14" customHeight="1"/>
    <row r="20" ht="20" customHeight="1">
      <c r="B20" s="75" t="inlineStr">
        <is>
          <t>ПРИЛОЖЕНИЯ:</t>
        </is>
      </c>
      <c r="C20" s="75" t="n"/>
      <c r="D20" s="75" t="n"/>
      <c r="E20" s="75" t="n"/>
      <c r="F20" s="75" t="n"/>
    </row>
    <row r="21" ht="18" customHeight="1">
      <c r="B21" s="76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76" t="n"/>
      <c r="D21" s="76" t="n"/>
      <c r="E21" s="76" t="n"/>
      <c r="F21" s="76" t="n"/>
    </row>
    <row r="22" ht="18" customHeight="1">
      <c r="B22" s="76">
        <f>"2) Квитанция для оплаты за "&amp;"IV квартал "&amp;'ИСХОДНЫЕ ДАННЫЕ'!$C$5&amp;" г."&amp;" — один экземпляр на 1 л."</f>
        <v/>
      </c>
      <c r="C22" s="76" t="n"/>
      <c r="D22" s="76" t="n"/>
      <c r="E22" s="76" t="n"/>
      <c r="F22" s="76" t="n"/>
    </row>
    <row r="23" ht="26" customHeight="1"/>
    <row r="24" ht="20" customHeight="1">
      <c r="B24" s="76">
        <f>"«______» ______________ "&amp;'ИСХОДНЫЕ ДАННЫЕ'!$C$5&amp;" г."</f>
        <v/>
      </c>
      <c r="C24" s="76" t="n"/>
    </row>
    <row r="25" ht="16" customHeight="1"/>
    <row r="26" ht="16" customHeight="1">
      <c r="B26" s="76" t="inlineStr">
        <is>
          <t>Председатель</t>
        </is>
      </c>
      <c r="C26" s="76" t="n"/>
    </row>
    <row r="27" ht="16" customHeight="1">
      <c r="B27" s="76">
        <f>"МКД "&amp;'ИСХОДНЫЕ ДАННЫЕ'!$C$15</f>
        <v/>
      </c>
      <c r="C27" s="76" t="n"/>
      <c r="D27" s="78">
        <f>"___________________  /"&amp;'ИСХОДНЫЕ ДАННЫЕ'!$C$19&amp;"/"</f>
        <v/>
      </c>
      <c r="E27" s="78" t="n"/>
      <c r="F27" s="78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79" right="0.59" top="0.59" bottom="0.59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9" t="inlineStr">
        <is>
          <t>КВАРТАЛЬНЫЕ КВИТАНЦИИ И ПИСЬМА — КАК ПОЛЬЗОВАТЬСЯ</t>
        </is>
      </c>
    </row>
    <row r="2" ht="8" customHeight="1">
      <c r="A2" s="80" t="inlineStr"/>
    </row>
    <row r="3" ht="22" customHeight="1">
      <c r="A3" s="81" t="inlineStr">
        <is>
          <t>1. Где вводить данные</t>
        </is>
      </c>
    </row>
    <row r="4" ht="32" customHeight="1">
      <c r="A4" s="82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2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2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0" t="inlineStr"/>
    </row>
    <row r="8" ht="22" customHeight="1">
      <c r="A8" s="81" t="inlineStr">
        <is>
          <t>2. Задолженность по кварталам</t>
        </is>
      </c>
    </row>
    <row r="9" ht="32" customHeight="1">
      <c r="A9" s="82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2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0" t="inlineStr"/>
    </row>
    <row r="12" ht="22" customHeight="1">
      <c r="A12" s="81" t="inlineStr">
        <is>
          <t>3. Сопроводительное письмо</t>
        </is>
      </c>
    </row>
    <row r="13" ht="32" customHeight="1">
      <c r="A13" s="82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2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0" t="inlineStr"/>
    </row>
    <row r="16" ht="22" customHeight="1">
      <c r="A16" s="81" t="inlineStr">
        <is>
          <t>4. Печать</t>
        </is>
      </c>
    </row>
    <row r="17" ht="32" customHeight="1">
      <c r="A17" s="82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2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0" t="inlineStr"/>
    </row>
    <row r="20" ht="22" customHeight="1">
      <c r="A20" s="81" t="inlineStr">
        <is>
          <t>5. Что проверить</t>
        </is>
      </c>
    </row>
    <row r="21" ht="32" customHeight="1">
      <c r="A21" s="82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2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2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2026-08-10T06:43:45Z</dcterms:created>
  <dcterms:modified xmlns:dcterms="http://purl.org/dc/terms/" xmlns:xsi="http://www.w3.org/2001/XMLSchema-instance" xsi:type="dcterms:W3CDTF">2026-08-10T06:43:45Z</dcterms:modified>
</cp:coreProperties>
</file>