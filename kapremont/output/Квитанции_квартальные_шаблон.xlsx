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СХОДНЫЕ ДАННЫЕ" sheetId="1" state="visible" r:id="rId1"/>
    <sheet xmlns:r="http://schemas.openxmlformats.org/officeDocument/2006/relationships" name="ПРОПИСЬ" sheetId="2" state="hidden" r:id="rId2"/>
    <sheet xmlns:r="http://schemas.openxmlformats.org/officeDocument/2006/relationships" name="Квитанция 1 кв" sheetId="3" state="visible" r:id="rId3"/>
    <sheet xmlns:r="http://schemas.openxmlformats.org/officeDocument/2006/relationships" name="Квитанция 2 кв" sheetId="4" state="visible" r:id="rId4"/>
    <sheet xmlns:r="http://schemas.openxmlformats.org/officeDocument/2006/relationships" name="Квитанция 3 кв" sheetId="5" state="visible" r:id="rId5"/>
    <sheet xmlns:r="http://schemas.openxmlformats.org/officeDocument/2006/relationships" name="Квитанция 4 кв" sheetId="6" state="visible" r:id="rId6"/>
    <sheet xmlns:r="http://schemas.openxmlformats.org/officeDocument/2006/relationships" name="Письмо 1 кв" sheetId="7" state="visible" r:id="rId7"/>
    <sheet xmlns:r="http://schemas.openxmlformats.org/officeDocument/2006/relationships" name="Письмо 2 кв" sheetId="8" state="visible" r:id="rId8"/>
    <sheet xmlns:r="http://schemas.openxmlformats.org/officeDocument/2006/relationships" name="Письмо 3 кв" sheetId="9" state="visible" r:id="rId9"/>
    <sheet xmlns:r="http://schemas.openxmlformats.org/officeDocument/2006/relationships" name="Письмо 4 кв" sheetId="10" state="visible" r:id="rId10"/>
    <sheet xmlns:r="http://schemas.openxmlformats.org/officeDocument/2006/relationships"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6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0F6B70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5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13" fillId="5" borderId="3" applyAlignment="1" pivotButton="0" quotePrefix="0" xfId="0">
      <alignment horizontal="left" vertical="center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4" fillId="5" borderId="7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left" vertical="center" wrapText="1" indent="1"/>
    </xf>
    <xf numFmtId="0" fontId="12" fillId="5" borderId="8" applyAlignment="1" pivotButton="0" quotePrefix="0" xfId="0">
      <alignment horizontal="left" vertical="center" wrapText="1" indent="1"/>
    </xf>
    <xf numFmtId="0" fontId="14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center" indent="1"/>
    </xf>
    <xf numFmtId="0" fontId="15" fillId="5" borderId="8" applyAlignment="1" pivotButton="0" quotePrefix="0" xfId="0">
      <alignment horizontal="left" vertical="center" indent="1"/>
    </xf>
    <xf numFmtId="0" fontId="14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left" vertical="center" indent="1"/>
    </xf>
    <xf numFmtId="0" fontId="13" fillId="5" borderId="8" applyAlignment="1" pivotButton="0" quotePrefix="0" xfId="0">
      <alignment horizontal="left" vertical="center" indent="1"/>
    </xf>
    <xf numFmtId="0" fontId="14" fillId="5" borderId="9" applyAlignment="1" pivotButton="0" quotePrefix="0" xfId="0">
      <alignment horizontal="left" vertical="center" indent="1"/>
    </xf>
    <xf numFmtId="0" fontId="15" fillId="5" borderId="6" applyAlignment="1" pivotButton="0" quotePrefix="0" xfId="0">
      <alignment horizontal="left" vertical="center" indent="1"/>
    </xf>
    <xf numFmtId="0" fontId="14" fillId="5" borderId="6" applyAlignment="1" pivotButton="0" quotePrefix="0" xfId="0">
      <alignment horizontal="left" vertical="center" indent="1"/>
    </xf>
    <xf numFmtId="0" fontId="15" fillId="5" borderId="10" applyAlignment="1" pivotButton="0" quotePrefix="0" xfId="0">
      <alignment horizontal="left" vertical="center" indent="1"/>
    </xf>
    <xf numFmtId="0" fontId="16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 indent="1"/>
    </xf>
    <xf numFmtId="166" fontId="17" fillId="5" borderId="1" applyAlignment="1" pivotButton="0" quotePrefix="0" xfId="0">
      <alignment horizontal="center" vertical="center"/>
    </xf>
    <xf numFmtId="166" fontId="17" fillId="5" borderId="8" applyAlignment="1" pivotButton="0" quotePrefix="0" xfId="0">
      <alignment horizontal="center" vertical="center"/>
    </xf>
    <xf numFmtId="0" fontId="14" fillId="5" borderId="9" applyAlignment="1" pivotButton="0" quotePrefix="0" xfId="0">
      <alignment horizontal="left" vertical="center" wrapText="1" indent="1"/>
    </xf>
    <xf numFmtId="164" fontId="13" fillId="5" borderId="6" applyAlignment="1" pivotButton="0" quotePrefix="0" xfId="0">
      <alignment horizontal="center" vertical="center"/>
    </xf>
    <xf numFmtId="0" fontId="14" fillId="5" borderId="6" applyAlignment="1" pivotButton="0" quotePrefix="0" xfId="0">
      <alignment horizontal="left" vertical="center" wrapText="1" indent="1"/>
    </xf>
    <xf numFmtId="4" fontId="13" fillId="5" borderId="6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6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5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/>
    </xf>
    <xf numFmtId="4" fontId="13" fillId="5" borderId="8" applyAlignment="1" pivotButton="0" quotePrefix="0" xfId="0">
      <alignment horizontal="right" vertical="center" indent="1"/>
    </xf>
    <xf numFmtId="0" fontId="12" fillId="5" borderId="7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left" vertical="center" indent="1"/>
    </xf>
    <xf numFmtId="4" fontId="19" fillId="5" borderId="2" applyAlignment="1" pivotButton="0" quotePrefix="0" xfId="0">
      <alignment horizontal="right" vertical="center" indent="1"/>
    </xf>
    <xf numFmtId="0" fontId="15" fillId="5" borderId="9" applyAlignment="1" pivotButton="0" quotePrefix="0" xfId="0">
      <alignment horizontal="left" vertical="center" indent="1"/>
    </xf>
    <xf numFmtId="4" fontId="13" fillId="5" borderId="6" applyAlignment="1" pivotButton="0" quotePrefix="0" xfId="0">
      <alignment horizontal="right" vertical="center" indent="1"/>
    </xf>
    <xf numFmtId="4" fontId="13" fillId="5" borderId="10" applyAlignment="1" pivotButton="0" quotePrefix="0" xfId="0">
      <alignment horizontal="right" vertical="center" indent="1"/>
    </xf>
    <xf numFmtId="0" fontId="15" fillId="5" borderId="7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12" fillId="5" borderId="9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10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left" vertical="top" wrapText="1"/>
    </xf>
    <xf numFmtId="0" fontId="22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Ячейки на бирюзовом фоне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18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Магистральная, 2»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Яворсюк Елены Викторовны»</t>
        </is>
      </c>
    </row>
    <row r="19" ht="30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Задолженность, руб.</t>
        </is>
      </c>
      <c r="D30" s="11" t="inlineStr">
        <is>
          <t>Описание задолженности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4042.38</v>
      </c>
      <c r="D31" s="13" t="inlineStr">
        <is>
          <t>за III и IV кварталы 2025 года</t>
        </is>
      </c>
      <c r="E31" s="14" t="n">
        <v>46051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0</v>
      </c>
      <c r="D33" s="13" t="inlineStr"/>
      <c r="E33" s="14" t="n">
        <v>46218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44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40604810809000000154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59">
        <f>IF('ИСХОДНЫЕ ДАННЫЕ'!$D$31="","",'ИСХОДНЫЕ ДАННЫЕ'!$D$31)</f>
        <v/>
      </c>
      <c r="G25" s="59" t="n"/>
      <c r="H25" s="56">
        <f>'ИСХОДНЫЕ ДАННЫЕ'!$C$31</f>
        <v/>
      </c>
    </row>
    <row r="26" ht="28" customHeight="1">
      <c r="B26" s="60" t="inlineStr">
        <is>
          <t>ИТОГО К ОПЛАТЕ</t>
        </is>
      </c>
      <c r="C26" s="61" t="n"/>
      <c r="D26" s="61" t="n"/>
      <c r="E26" s="61" t="n"/>
      <c r="F26" s="61" t="n"/>
      <c r="G26" s="61" t="n"/>
      <c r="H26" s="62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ДАННЫЕ'!$F$31="","—",'ИСХОДНЫЕ ДАННЫЕ'!$F$31)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59">
        <f>IF('ИСХОДНЫЕ ДАННЫЕ'!$D$32="","",'ИСХОДНЫЕ ДАННЫЕ'!$D$32)</f>
        <v/>
      </c>
      <c r="G25" s="59" t="n"/>
      <c r="H25" s="56">
        <f>'ИСХОДНЫЕ ДАННЫЕ'!$C$32</f>
        <v/>
      </c>
    </row>
    <row r="26" ht="28" customHeight="1">
      <c r="B26" s="60" t="inlineStr">
        <is>
          <t>ИТОГО К ОПЛАТЕ</t>
        </is>
      </c>
      <c r="C26" s="61" t="n"/>
      <c r="D26" s="61" t="n"/>
      <c r="E26" s="61" t="n"/>
      <c r="F26" s="61" t="n"/>
      <c r="G26" s="61" t="n"/>
      <c r="H26" s="62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ДАННЫЕ'!$F$32="","—",'ИСХОДНЫЕ ДАННЫЕ'!$F$32)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59">
        <f>IF('ИСХОДНЫЕ ДАННЫЕ'!$D$33="","",'ИСХОДНЫЕ ДАННЫЕ'!$D$33)</f>
        <v/>
      </c>
      <c r="G25" s="59" t="n"/>
      <c r="H25" s="56">
        <f>'ИСХОДНЫЕ ДАННЫЕ'!$C$33</f>
        <v/>
      </c>
    </row>
    <row r="26" ht="28" customHeight="1">
      <c r="B26" s="60" t="inlineStr">
        <is>
          <t>ИТОГО К ОПЛАТЕ</t>
        </is>
      </c>
      <c r="C26" s="61" t="n"/>
      <c r="D26" s="61" t="n"/>
      <c r="E26" s="61" t="n"/>
      <c r="F26" s="61" t="n"/>
      <c r="G26" s="61" t="n"/>
      <c r="H26" s="62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ДАННЫЕ'!$F$33="","—",'ИСХОДНЫЕ ДАННЫЕ'!$F$33)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"IV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за предыдущие периоды</t>
        </is>
      </c>
      <c r="C25" s="31" t="n"/>
      <c r="D25" s="31" t="n"/>
      <c r="E25" s="31" t="n"/>
      <c r="F25" s="59">
        <f>IF('ИСХОДНЫЕ ДАННЫЕ'!$D$34="","",'ИСХОДНЫЕ ДАННЫЕ'!$D$34)</f>
        <v/>
      </c>
      <c r="G25" s="59" t="n"/>
      <c r="H25" s="56">
        <f>'ИСХОДНЫЕ ДАННЫЕ'!$C$34</f>
        <v/>
      </c>
    </row>
    <row r="26" ht="28" customHeight="1">
      <c r="B26" s="60" t="inlineStr">
        <is>
          <t>ИТОГО К ОПЛАТЕ</t>
        </is>
      </c>
      <c r="C26" s="61" t="n"/>
      <c r="D26" s="61" t="n"/>
      <c r="E26" s="61" t="n"/>
      <c r="F26" s="61" t="n"/>
      <c r="G26" s="61" t="n"/>
      <c r="H26" s="62">
        <f>ROUND(H24+H25,2)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ДАННЫЕ'!$F$34="","—",'ИСХОДНЫЕ ДАННЫЕ'!$F$34)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ДАННЫЕ'!$C$31,2),2))/1000)&gt;0,INT(INT(ROUND(ROUND(ROUND('ИСХОДНЫЕ ДАННЫЕ'!$C$8*3,2)+'ИСХОДНЫЕ ДАННЫЕ'!$C$31,2),2))/1000)&amp;" "&amp;TEXT((INT(ROUND(ROUND(ROUND('ИСХОДНЫЕ ДАННЫЕ'!$C$8*3,2)+'ИСХОДНЫЕ ДАННЫЕ'!$C$31,2),2))-INT(INT(ROUND(ROUND(ROUND('ИСХОДНЫЕ ДАННЫЕ'!$C$8*3,2)+'ИСХОДНЫЕ ДАННЫЕ'!$C$31,2),2))/1000)*1000),"000"),(INT(ROUND(ROUND(ROUND('ИСХОДНЫЕ ДАННЫЕ'!$C$8*3,2)+'ИСХОДНЫЕ ДАННЫЕ'!$C$31,2),2))-INT(INT(ROUND(ROUND(ROUND('ИСХОДНЫЕ ДАННЫЕ'!$C$8*3,2)+'ИСХОДНЫЕ ДАННЫЕ'!$C$31,2),2))/1000)*1000)&amp;"")&amp;","&amp;TEXT((ROUND(ROUND(ROUND(ROUND('ИСХОДНЫЕ ДАННЫЕ'!$C$8*3,2)+'ИСХОДНЫЕ ДАННЫЕ'!$C$31,2),2)*100,0)-INT(ROUND(ROUND(ROUND('ИСХОДНЫЕ ДАННЫЕ'!$C$8*3,2)+'ИСХОДНЫЕ ДАННЫЕ'!$C$31,2),2))*100),"00")&amp;"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ДАННЫЕ'!$C$31=0,"— задолженности за предыдущие периоды нет.","—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ДАННЫЕ'!$C$31=0,"","("&amp;UPPER(LEFT(IF(INT(INT(ROUND('ИСХОДНЫЕ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ДАННЫЕ'!$C$31,2))*100)+1),1))&amp;MID(IF(INT(INT(ROUND('ИСХОДНЫЕ ДАННЫЕ'!$C$31,2))/1000)&gt;0,INDEX('ПРОПИСЬ'!$D$2:$D$1001,INT(INT(ROUND('ИСХОДНЫЕ ДАННЫЕ'!$C$31,2))/1000)+1)&amp;" "&amp;INDEX('ПРОПИСЬ'!$E$2:$E$1001,INT(INT(ROUND('ИСХОДНЫЕ ДАННЫЕ'!$C$31,2))/1000)+1)&amp;" ","")&amp;IF(AND((INT(ROUND('ИСХОДНЫЕ ДАННЫЕ'!$C$31,2))-INT(INT(ROUND('ИСХОДНЫЕ ДАННЫЕ'!$C$31,2))/1000)*1000)=0,INT(INT(ROUND('ИСХОДНЫЕ ДАННЫЕ'!$C$31,2))/1000)&gt;0),"",INDEX('ПРОПИСЬ'!$B$2:$B$1001,(INT(ROUND('ИСХОДНЫЕ ДАННЫЕ'!$C$31,2))-INT(INT(ROUND('ИСХОДНЫЕ ДАННЫЕ'!$C$31,2))/1000)*1000)+1)&amp;" ")&amp;INDEX('ПРОПИСЬ'!$C$2:$C$1001,(INT(ROUND('ИСХОДНЫЕ ДАННЫЕ'!$C$31,2))-INT(INT(ROUND('ИСХОДНЫЕ ДАННЫЕ'!$C$31,2))/1000)*1000)+1)&amp;" "&amp;INDEX('ПРОПИСЬ'!$D$2:$D$1001,(ROUND(ROUND('ИСХОДНЫЕ ДАННЫЕ'!$C$31,2)*100,0)-INT(ROUND('ИСХОДНЫЕ ДАННЫЕ'!$C$31,2))*100)+1)&amp;" "&amp;INDEX('ПРОПИСЬ'!$F$2:$F$1001,(ROUND(ROUND('ИСХОДНЫЕ ДАННЫЕ'!$C$31,2)*100,0)-INT(ROUND('ИСХОДНЫЕ ДАННЫЕ'!$C$31,2))*100)+1),2,300)&amp;").")</f>
        <v/>
      </c>
      <c r="C14" s="78" t="n"/>
      <c r="D14" s="78" t="n"/>
      <c r="E14" s="78" t="n"/>
      <c r="F14" s="78" t="n"/>
    </row>
    <row r="15" ht="10" customHeight="1"/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ДАННЫЕ'!$C$32,2),2))/1000)&gt;0,INT(INT(ROUND(ROUND(ROUND('ИСХОДНЫЕ ДАННЫЕ'!$C$8*3,2)+'ИСХОДНЫЕ ДАННЫЕ'!$C$32,2),2))/1000)&amp;" "&amp;TEXT((INT(ROUND(ROUND(ROUND('ИСХОДНЫЕ ДАННЫЕ'!$C$8*3,2)+'ИСХОДНЫЕ ДАННЫЕ'!$C$32,2),2))-INT(INT(ROUND(ROUND(ROUND('ИСХОДНЫЕ ДАННЫЕ'!$C$8*3,2)+'ИСХОДНЫЕ ДАННЫЕ'!$C$32,2),2))/1000)*1000),"000"),(INT(ROUND(ROUND(ROUND('ИСХОДНЫЕ ДАННЫЕ'!$C$8*3,2)+'ИСХОДНЫЕ ДАННЫЕ'!$C$32,2),2))-INT(INT(ROUND(ROUND(ROUND('ИСХОДНЫЕ ДАННЫЕ'!$C$8*3,2)+'ИСХОДНЫЕ ДАННЫЕ'!$C$32,2),2))/1000)*1000)&amp;"")&amp;","&amp;TEXT((ROUND(ROUND(ROUND(ROUND('ИСХОДНЫЕ ДАННЫЕ'!$C$8*3,2)+'ИСХОДНЫЕ ДАННЫЕ'!$C$32,2),2)*100,0)-INT(ROUND(ROUND(ROUND('ИСХОДНЫЕ ДАННЫЕ'!$C$8*3,2)+'ИСХОДНЫЕ ДАННЫЕ'!$C$32,2),2))*100),"00")&amp;"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ДАННЫЕ'!$C$32=0,"— задолженности за предыдущие периоды нет.","—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ДАННЫЕ'!$C$32=0,"","("&amp;UPPER(LEFT(IF(INT(INT(ROUND('ИСХОДНЫЕ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ДАННЫЕ'!$C$32,2))*100)+1),1))&amp;MID(IF(INT(INT(ROUND('ИСХОДНЫЕ ДАННЫЕ'!$C$32,2))/1000)&gt;0,INDEX('ПРОПИСЬ'!$D$2:$D$1001,INT(INT(ROUND('ИСХОДНЫЕ ДАННЫЕ'!$C$32,2))/1000)+1)&amp;" "&amp;INDEX('ПРОПИСЬ'!$E$2:$E$1001,INT(INT(ROUND('ИСХОДНЫЕ ДАННЫЕ'!$C$32,2))/1000)+1)&amp;" ","")&amp;IF(AND((INT(ROUND('ИСХОДНЫЕ ДАННЫЕ'!$C$32,2))-INT(INT(ROUND('ИСХОДНЫЕ ДАННЫЕ'!$C$32,2))/1000)*1000)=0,INT(INT(ROUND('ИСХОДНЫЕ ДАННЫЕ'!$C$32,2))/1000)&gt;0),"",INDEX('ПРОПИСЬ'!$B$2:$B$1001,(INT(ROUND('ИСХОДНЫЕ ДАННЫЕ'!$C$32,2))-INT(INT(ROUND('ИСХОДНЫЕ ДАННЫЕ'!$C$32,2))/1000)*1000)+1)&amp;" ")&amp;INDEX('ПРОПИСЬ'!$C$2:$C$1001,(INT(ROUND('ИСХОДНЫЕ ДАННЫЕ'!$C$32,2))-INT(INT(ROUND('ИСХОДНЫЕ ДАННЫЕ'!$C$32,2))/1000)*1000)+1)&amp;" "&amp;INDEX('ПРОПИСЬ'!$D$2:$D$1001,(ROUND(ROUND('ИСХОДНЫЕ ДАННЫЕ'!$C$32,2)*100,0)-INT(ROUND('ИСХОДНЫЕ ДАННЫЕ'!$C$32,2))*100)+1)&amp;" "&amp;INDEX('ПРОПИСЬ'!$F$2:$F$1001,(ROUND(ROUND('ИСХОДНЫЕ ДАННЫЕ'!$C$32,2)*100,0)-INT(ROUND('ИСХОДНЫЕ ДАННЫЕ'!$C$32,2))*100)+1),2,300)&amp;").")</f>
        <v/>
      </c>
      <c r="C14" s="78" t="n"/>
      <c r="D14" s="78" t="n"/>
      <c r="E14" s="78" t="n"/>
      <c r="F14" s="78" t="n"/>
    </row>
    <row r="15" ht="10" customHeight="1"/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ДАННЫЕ'!$C$33,2),2))/1000)&gt;0,INT(INT(ROUND(ROUND(ROUND('ИСХОДНЫЕ ДАННЫЕ'!$C$8*3,2)+'ИСХОДНЫЕ ДАННЫЕ'!$C$33,2),2))/1000)&amp;" "&amp;TEXT((INT(ROUND(ROUND(ROUND('ИСХОДНЫЕ ДАННЫЕ'!$C$8*3,2)+'ИСХОДНЫЕ ДАННЫЕ'!$C$33,2),2))-INT(INT(ROUND(ROUND(ROUND('ИСХОДНЫЕ ДАННЫЕ'!$C$8*3,2)+'ИСХОДНЫЕ ДАННЫЕ'!$C$33,2),2))/1000)*1000),"000"),(INT(ROUND(ROUND(ROUND('ИСХОДНЫЕ ДАННЫЕ'!$C$8*3,2)+'ИСХОДНЫЕ ДАННЫЕ'!$C$33,2),2))-INT(INT(ROUND(ROUND(ROUND('ИСХОДНЫЕ ДАННЫЕ'!$C$8*3,2)+'ИСХОДНЫЕ ДАННЫЕ'!$C$33,2),2))/1000)*1000)&amp;"")&amp;","&amp;TEXT((ROUND(ROUND(ROUND(ROUND('ИСХОДНЫЕ ДАННЫЕ'!$C$8*3,2)+'ИСХОДНЫЕ ДАННЫЕ'!$C$33,2),2)*100,0)-INT(ROUND(ROUND(ROUND('ИСХОДНЫЕ ДАННЫЕ'!$C$8*3,2)+'ИСХОДНЫЕ ДАННЫЕ'!$C$33,2),2))*100),"00")&amp;"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ДАННЫЕ'!$C$33=0,"— задолженности за предыдущие периоды нет.","—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ДАННЫЕ'!$C$33=0,"","("&amp;UPPER(LEFT(IF(INT(INT(ROUND('ИСХОДНЫЕ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ДАННЫЕ'!$C$33,2))*100)+1),1))&amp;MID(IF(INT(INT(ROUND('ИСХОДНЫЕ ДАННЫЕ'!$C$33,2))/1000)&gt;0,INDEX('ПРОПИСЬ'!$D$2:$D$1001,INT(INT(ROUND('ИСХОДНЫЕ ДАННЫЕ'!$C$33,2))/1000)+1)&amp;" "&amp;INDEX('ПРОПИСЬ'!$E$2:$E$1001,INT(INT(ROUND('ИСХОДНЫЕ ДАННЫЕ'!$C$33,2))/1000)+1)&amp;" ","")&amp;IF(AND((INT(ROUND('ИСХОДНЫЕ ДАННЫЕ'!$C$33,2))-INT(INT(ROUND('ИСХОДНЫЕ ДАННЫЕ'!$C$33,2))/1000)*1000)=0,INT(INT(ROUND('ИСХОДНЫЕ ДАННЫЕ'!$C$33,2))/1000)&gt;0),"",INDEX('ПРОПИСЬ'!$B$2:$B$1001,(INT(ROUND('ИСХОДНЫЕ ДАННЫЕ'!$C$33,2))-INT(INT(ROUND('ИСХОДНЫЕ ДАННЫЕ'!$C$33,2))/1000)*1000)+1)&amp;" ")&amp;INDEX('ПРОПИСЬ'!$C$2:$C$1001,(INT(ROUND('ИСХОДНЫЕ ДАННЫЕ'!$C$33,2))-INT(INT(ROUND('ИСХОДНЫЕ ДАННЫЕ'!$C$33,2))/1000)*1000)+1)&amp;" "&amp;INDEX('ПРОПИСЬ'!$D$2:$D$1001,(ROUND(ROUND('ИСХОДНЫЕ ДАННЫЕ'!$C$33,2)*100,0)-INT(ROUND('ИСХОДНЫЕ ДАННЫЕ'!$C$33,2))*100)+1)&amp;" "&amp;INDEX('ПРОПИСЬ'!$F$2:$F$1001,(ROUND(ROUND('ИСХОДНЫЕ ДАННЫЕ'!$C$33,2)*100,0)-INT(ROUND('ИСХОДНЫЕ ДАННЫЕ'!$C$33,2))*100)+1),2,300)&amp;").")</f>
        <v/>
      </c>
      <c r="C14" s="78" t="n"/>
      <c r="D14" s="78" t="n"/>
      <c r="E14" s="78" t="n"/>
      <c r="F14" s="78" t="n"/>
    </row>
    <row r="15" ht="10" customHeight="1"/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о необходимости оплатить "&amp;IF(INT(INT(ROUND(ROUND(ROUND('ИСХОДНЫЕ ДАННЫЕ'!$C$8*3,2)+'ИСХОДНЫЕ ДАННЫЕ'!$C$34,2),2))/1000)&gt;0,INT(INT(ROUND(ROUND(ROUND('ИСХОДНЫЕ ДАННЫЕ'!$C$8*3,2)+'ИСХОДНЫЕ ДАННЫЕ'!$C$34,2),2))/1000)&amp;" "&amp;TEXT((INT(ROUND(ROUND(ROUND('ИСХОДНЫЕ ДАННЫЕ'!$C$8*3,2)+'ИСХОДНЫЕ ДАННЫЕ'!$C$34,2),2))-INT(INT(ROUND(ROUND(ROUND('ИСХОДНЫЕ ДАННЫЕ'!$C$8*3,2)+'ИСХОДНЫЕ ДАННЫЕ'!$C$34,2),2))/1000)*1000),"000"),(INT(ROUND(ROUND(ROUND('ИСХОДНЫЕ ДАННЫЕ'!$C$8*3,2)+'ИСХОДНЫЕ ДАННЫЕ'!$C$34,2),2))-INT(INT(ROUND(ROUND(ROUND('ИСХОДНЫЕ ДАННЫЕ'!$C$8*3,2)+'ИСХОДНЫЕ ДАННЫЕ'!$C$34,2),2))/1000)*1000)&amp;"")&amp;","&amp;TEXT((ROUND(ROUND(ROUND(ROUND('ИСХОДНЫЕ ДАННЫЕ'!$C$8*3,2)+'ИСХОДНЫЕ ДАННЫЕ'!$C$34,2),2)*100,0)-INT(ROUND(ROUND(ROUND('ИСХОДНЫЕ ДАННЫЕ'!$C$8*3,2)+'ИСХОДНЫЕ ДАННЫЕ'!$C$34,2),2))*100),"00")&amp;" руб., в том числе:"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ДАННЫЕ'!$C$34=0,"— задолженности за предыдущие периоды нет.","—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ДАННЫЕ'!$C$34=0,"","("&amp;UPPER(LEFT(IF(INT(INT(ROUND('ИСХОДНЫЕ ДАННЫЕ'!$C$34,2))/1000)&gt;0,INDEX('ПРОПИСЬ'!$D$2:$D$1001,INT(INT(ROUND('ИСХОДНЫЕ ДАННЫЕ'!$C$34,2))/1000)+1)&amp;" "&amp;INDEX('ПРОПИСЬ'!$E$2:$E$1001,INT(INT(ROUND('ИСХОДНЫЕ ДАННЫЕ'!$C$34,2))/1000)+1)&amp;" ","")&amp;IF(AND((INT(ROUND('ИСХОДНЫЕ ДАННЫЕ'!$C$34,2))-INT(INT(ROUND('ИСХОДНЫЕ ДАННЫЕ'!$C$34,2))/1000)*1000)=0,INT(INT(ROUND('ИСХОДНЫЕ ДАННЫЕ'!$C$34,2))/1000)&gt;0),"",INDEX('ПРОПИСЬ'!$B$2:$B$1001,(INT(ROUND('ИСХОДНЫЕ ДАННЫЕ'!$C$34,2))-INT(INT(ROUND('ИСХОДНЫЕ ДАННЫЕ'!$C$34,2))/1000)*1000)+1)&amp;" ")&amp;INDEX('ПРОПИСЬ'!$C$2:$C$1001,(INT(ROUND('ИСХОДНЫЕ ДАННЫЕ'!$C$34,2))-INT(INT(ROUND('ИСХОДНЫЕ ДАННЫЕ'!$C$34,2))/1000)*1000)+1)&amp;" "&amp;INDEX('ПРОПИСЬ'!$D$2:$D$1001,(ROUND(ROUND('ИСХОДНЫЕ ДАННЫЕ'!$C$34,2)*100,0)-INT(ROUND('ИСХОДНЫЕ ДАННЫЕ'!$C$34,2))*100)+1)&amp;" "&amp;INDEX('ПРОПИСЬ'!$F$2:$F$1001,(ROUND(ROUND('ИСХОДНЫЕ ДАННЫЕ'!$C$34,2)*100,0)-INT(ROUND('ИСХОДНЫЕ ДАННЫЕ'!$C$34,2))*100)+1),1))&amp;MID(IF(INT(INT(ROUND('ИСХОДНЫЕ ДАННЫЕ'!$C$34,2))/1000)&gt;0,INDEX('ПРОПИСЬ'!$D$2:$D$1001,INT(INT(ROUND('ИСХОДНЫЕ ДАННЫЕ'!$C$34,2))/1000)+1)&amp;" "&amp;INDEX('ПРОПИСЬ'!$E$2:$E$1001,INT(INT(ROUND('ИСХОДНЫЕ ДАННЫЕ'!$C$34,2))/1000)+1)&amp;" ","")&amp;IF(AND((INT(ROUND('ИСХОДНЫЕ ДАННЫЕ'!$C$34,2))-INT(INT(ROUND('ИСХОДНЫЕ ДАННЫЕ'!$C$34,2))/1000)*1000)=0,INT(INT(ROUND('ИСХОДНЫЕ ДАННЫЕ'!$C$34,2))/1000)&gt;0),"",INDEX('ПРОПИСЬ'!$B$2:$B$1001,(INT(ROUND('ИСХОДНЫЕ ДАННЫЕ'!$C$34,2))-INT(INT(ROUND('ИСХОДНЫЕ ДАННЫЕ'!$C$34,2))/1000)*1000)+1)&amp;" ")&amp;INDEX('ПРОПИСЬ'!$C$2:$C$1001,(INT(ROUND('ИСХОДНЫЕ ДАННЫЕ'!$C$34,2))-INT(INT(ROUND('ИСХОДНЫЕ ДАННЫЕ'!$C$34,2))/1000)*1000)+1)&amp;" "&amp;INDEX('ПРОПИСЬ'!$D$2:$D$1001,(ROUND(ROUND('ИСХОДНЫЕ ДАННЫЕ'!$C$34,2)*100,0)-INT(ROUND('ИСХОДНЫЕ ДАННЫЕ'!$C$34,2))*100)+1)&amp;" "&amp;INDEX('ПРОПИСЬ'!$F$2:$F$1001,(ROUND(ROUND('ИСХОДНЫЕ ДАННЫЕ'!$C$34,2)*100,0)-INT(ROUND('ИСХОДНЫЕ ДАННЫЕ'!$C$34,2))*100)+1),2,300)&amp;").")</f>
        <v/>
      </c>
      <c r="C14" s="78" t="n"/>
      <c r="D14" s="78" t="n"/>
      <c r="E14" s="78" t="n"/>
      <c r="F14" s="78" t="n"/>
    </row>
    <row r="15" ht="10" customHeight="1"/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"&amp;"IV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0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0" t="inlineStr">
        <is>
          <t>КВАРТАЛЬНЫЕ КВИТАНЦИИ И ПИСЬМА — КАК ПОЛЬЗОВАТЬСЯ</t>
        </is>
      </c>
    </row>
    <row r="2" ht="8" customHeight="1">
      <c r="A2" s="81" t="inlineStr"/>
    </row>
    <row r="3" ht="22" customHeight="1">
      <c r="A3" s="82" t="inlineStr">
        <is>
          <t>1. Где вводить данные</t>
        </is>
      </c>
    </row>
    <row r="4" ht="32" customHeight="1">
      <c r="A4" s="83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3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3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1" t="inlineStr"/>
    </row>
    <row r="8" ht="22" customHeight="1">
      <c r="A8" s="82" t="inlineStr">
        <is>
          <t>2. Задолженность по кварталам</t>
        </is>
      </c>
    </row>
    <row r="9" ht="32" customHeight="1">
      <c r="A9" s="83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3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1" t="inlineStr"/>
    </row>
    <row r="12" ht="22" customHeight="1">
      <c r="A12" s="82" t="inlineStr">
        <is>
          <t>3. Сопроводительное письмо</t>
        </is>
      </c>
    </row>
    <row r="13" ht="32" customHeight="1">
      <c r="A13" s="83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3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1" t="inlineStr"/>
    </row>
    <row r="16" ht="22" customHeight="1">
      <c r="A16" s="82" t="inlineStr">
        <is>
          <t>4. Печать</t>
        </is>
      </c>
    </row>
    <row r="17" ht="32" customHeight="1">
      <c r="A17" s="83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3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1" t="inlineStr"/>
    </row>
    <row r="20" ht="22" customHeight="1">
      <c r="A20" s="82" t="inlineStr">
        <is>
          <t>5. Что проверить</t>
        </is>
      </c>
    </row>
    <row r="21" ht="32" customHeight="1">
      <c r="A21" s="83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3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3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2026-08-10T18:32:52Z</dcterms:created>
  <dcterms:modified xmlns:dcterms="http://purl.org/dc/terms/" xmlns:xsi="http://www.w3.org/2001/XMLSchema-instance" xsi:type="dcterms:W3CDTF">2026-08-10T18:32:52Z</dcterms:modified>
</cp:coreProperties>
</file>