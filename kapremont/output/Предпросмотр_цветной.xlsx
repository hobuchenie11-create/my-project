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ОСТАТОК">КВИТАНЦИЯ!$G$28</definedName>
    <definedName name="КВ_QR_МЕСТО">КВИТАНЦИЯ!$G$31</definedName>
    <definedName name="КВ_QR">НАСТРОЙКИ!$B$20</definedName>
    <definedName name="КВ_СХЕМА">НАСТРОЙКИ!$B$17</definedName>
    <definedName name="ДАННЫЕ_ТАБЛИЦА">ДАННЫЕ!$A$1:$O$5000</definedName>
    <definedName name="_xlnm.Print_Area" localSheetId="0">'КВИТАНЦИЯ'!$A$1:$I$42</definedName>
    <definedName name="_xlnm._FilterDatabase" localSheetId="2" hidden="1">'ДАННЫЕ'!$A$1:$O$1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0F6B70"/>
      <sz val="11"/>
    </font>
    <font>
      <name val="Arial"/>
      <color rgb="00263238"/>
      <sz val="10"/>
    </font>
    <font>
      <name val="Arial"/>
      <b val="1"/>
      <color rgb="00FFFFFF"/>
      <sz val="14"/>
    </font>
    <font>
      <name val="Arial"/>
      <b val="1"/>
      <color rgb="000F6B70"/>
      <sz val="16"/>
    </font>
    <font>
      <name val="Arial"/>
      <b val="1"/>
      <color rgb="00FFFFFF"/>
      <sz val="11"/>
    </font>
    <font>
      <name val="Arial"/>
      <i val="1"/>
      <color rgb="00263238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1" fillId="3" borderId="3" applyAlignment="1" pivotButton="0" quotePrefix="0" xfId="0">
      <alignment horizontal="left" vertical="center" indent="1"/>
    </xf>
    <xf numFmtId="0" fontId="1" fillId="3" borderId="4" applyAlignment="1" pivotButton="0" quotePrefix="0" xfId="0">
      <alignment horizontal="left" vertical="center" indent="1"/>
    </xf>
    <xf numFmtId="0" fontId="1" fillId="3" borderId="5" applyAlignment="1" pivotButton="0" quotePrefix="0" xfId="0">
      <alignment horizontal="left" vertical="center" indent="1"/>
    </xf>
    <xf numFmtId="0" fontId="9" fillId="5" borderId="7" applyAlignment="1" pivotButton="0" quotePrefix="0" xfId="0">
      <alignment horizontal="left" vertical="center" wrapText="1" indent="1"/>
    </xf>
    <xf numFmtId="0" fontId="10" fillId="6" borderId="1" applyAlignment="1" pivotButton="0" quotePrefix="0" xfId="0">
      <alignment horizontal="left" vertical="center" wrapText="1" indent="1"/>
    </xf>
    <xf numFmtId="0" fontId="10" fillId="6" borderId="8" applyAlignment="1" pivotButton="0" quotePrefix="0" xfId="0">
      <alignment horizontal="left" vertical="center" wrapText="1" indent="1"/>
    </xf>
    <xf numFmtId="0" fontId="9" fillId="5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1" fillId="6" borderId="8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left" vertical="center" indent="1"/>
    </xf>
    <xf numFmtId="0" fontId="12" fillId="6" borderId="8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indent="1"/>
    </xf>
    <xf numFmtId="0" fontId="11" fillId="6" borderId="6" applyAlignment="1" pivotButton="0" quotePrefix="0" xfId="0">
      <alignment horizontal="left" vertical="center" indent="1"/>
    </xf>
    <xf numFmtId="0" fontId="9" fillId="5" borderId="6" applyAlignment="1" pivotButton="0" quotePrefix="0" xfId="0">
      <alignment horizontal="left" vertical="center" indent="1"/>
    </xf>
    <xf numFmtId="0" fontId="11" fillId="6" borderId="10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 indent="1"/>
    </xf>
    <xf numFmtId="165" fontId="14" fillId="6" borderId="1" applyAlignment="1" pivotButton="0" quotePrefix="0" xfId="0">
      <alignment horizontal="center" vertical="center"/>
    </xf>
    <xf numFmtId="165" fontId="14" fillId="6" borderId="8" applyAlignment="1" pivotButton="0" quotePrefix="0" xfId="0">
      <alignment horizontal="center" vertical="center"/>
    </xf>
    <xf numFmtId="0" fontId="9" fillId="5" borderId="9" applyAlignment="1" pivotButton="0" quotePrefix="0" xfId="0">
      <alignment horizontal="left" vertical="center" wrapText="1" indent="1"/>
    </xf>
    <xf numFmtId="166" fontId="12" fillId="6" borderId="6" applyAlignment="1" pivotButton="0" quotePrefix="0" xfId="0">
      <alignment horizontal="center" vertical="center"/>
    </xf>
    <xf numFmtId="0" fontId="9" fillId="5" borderId="6" applyAlignment="1" pivotButton="0" quotePrefix="0" xfId="0">
      <alignment horizontal="left" vertical="center" wrapText="1" indent="1"/>
    </xf>
    <xf numFmtId="4" fontId="12" fillId="6" borderId="6" applyAlignment="1" pivotButton="0" quotePrefix="0" xfId="0">
      <alignment horizontal="center" vertical="center"/>
    </xf>
    <xf numFmtId="0" fontId="12" fillId="6" borderId="6" applyAlignment="1" pivotButton="0" quotePrefix="0" xfId="0">
      <alignment horizontal="center" vertical="center"/>
    </xf>
    <xf numFmtId="0" fontId="12" fillId="6" borderId="10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11" fillId="6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/>
    </xf>
    <xf numFmtId="4" fontId="12" fillId="6" borderId="8" applyAlignment="1" pivotButton="0" quotePrefix="0" xfId="0">
      <alignment horizontal="right" vertical="center" indent="1"/>
    </xf>
    <xf numFmtId="0" fontId="15" fillId="3" borderId="3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left" vertical="center" indent="1"/>
    </xf>
    <xf numFmtId="4" fontId="16" fillId="7" borderId="2" applyAlignment="1" pivotButton="0" quotePrefix="0" xfId="0">
      <alignment horizontal="right" vertical="center" indent="1"/>
    </xf>
    <xf numFmtId="4" fontId="12" fillId="6" borderId="1" applyAlignment="1" pivotButton="0" quotePrefix="0" xfId="0">
      <alignment horizontal="right" vertical="center" indent="1"/>
    </xf>
    <xf numFmtId="0" fontId="11" fillId="6" borderId="9" applyAlignment="1" pivotButton="0" quotePrefix="0" xfId="0">
      <alignment horizontal="left" vertical="center" indent="1"/>
    </xf>
    <xf numFmtId="4" fontId="12" fillId="6" borderId="6" applyAlignment="1" pivotButton="0" quotePrefix="0" xfId="0">
      <alignment horizontal="right" vertical="center" indent="1"/>
    </xf>
    <xf numFmtId="4" fontId="12" fillId="6" borderId="10" applyAlignment="1" pivotButton="0" quotePrefix="0" xfId="0">
      <alignment horizontal="right" vertical="center" indent="1"/>
    </xf>
    <xf numFmtId="0" fontId="11" fillId="6" borderId="7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left" vertical="center" wrapText="1" indent="1"/>
    </xf>
    <xf numFmtId="0" fontId="8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 wrapText="1"/>
    </xf>
    <xf numFmtId="0" fontId="10" fillId="7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"&amp;IF(IFERROR(INDEX(ДАННЫЕ!$M:$M,MATCH(КВ_ЛС,ДАННЫЕ!$A:$A,0)),"")="",НАСТРОЙКИ!$B$14,INDEX(ДАННЫЕ!$M:$M,MATCH(КВ_ЛС,ДАННЫЕ!$A:$A,0)))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IF(IFERROR(INDEX(ДАННЫЕ!$M:$M,MATCH(КВ_ЛС,ДАННЫЕ!$A:$A,0)),"")="",НАСТРОЙКИ!$B$14,INDEX(ДАННЫЕ!$M:$M,MATCH(КВ_ЛС,ДАННЫЕ!$A:$A,0)))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IF(IFERROR(INDEX(ДАННЫЕ!$M:$M,MATCH(КВ_ЛС,ДАННЫЕ!$A:$A,0)),"")="",НАСТРОЙКИ!$B$14,INDEX(ДАННЫЕ!$M:$M,MATCH(КВ_ЛС,ДАННЫЕ!$A:$A,0)))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N:$N,MATCH(КВ_ЛС,ДАННЫЕ!$A:$A,0)),"")="",НАСТРОЙКИ!$B$15,INDEX(ДАННЫЕ!$N:$N,MATCH(КВ_ЛС,ДАННЫЕ!$A:$A,0)))),"00")&amp;"."&amp;TEXT(MONTH(IF(IFERROR(INDEX(ДАННЫЕ!$N:$N,MATCH(КВ_ЛС,ДАННЫЕ!$A:$A,0)),"")="",НАСТРОЙКИ!$B$15,INDEX(ДАННЫЕ!$N:$N,MATCH(КВ_ЛС,ДАННЫЕ!$A:$A,0)))),"00")&amp;"."&amp;YEAR(IF(IFERROR(INDEX(ДАННЫЕ!$N:$N,MATCH(КВ_ЛС,ДАННЫЕ!$A:$A,0)),"")="",НАСТРОЙКИ!$B$15,INDEX(ДАННЫЕ!$N:$N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"&amp;YEAR(IF(IFERROR(INDEX(ДАННЫЕ!$N:$N,MATCH(КВ_ЛС,ДАННЫЕ!$A:$A,0)),"")="",НАСТРОЙКИ!$B$15,INDEX(ДАННЫЕ!$N:$N,MATCH(КВ_ЛС,ДАННЫЕ!$A:$A,0))))&amp;"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43" t="inlineStr">
        <is>
          <t>Остаток средств на специальном счёте многоквартирного дома, руб.</t>
        </is>
      </c>
      <c r="C28" s="19" t="n"/>
      <c r="D28" s="19" t="n"/>
      <c r="E28" s="19" t="n"/>
      <c r="F28" s="19" t="n"/>
      <c r="G28" s="44">
        <f>IF(IFERROR(INDEX(ДАННЫЕ!$L:$L,MATCH(КВ_ЛС,ДАННЫЕ!$A:$A,0)),"")="","—",INDEX(ДАННЫЕ!$L:$L,MATCH(КВ_ЛС,ДАННЫЕ!$A:$A,0)))</f>
        <v/>
      </c>
      <c r="H28" s="45" t="n"/>
    </row>
    <row r="29" ht="5" customHeight="1"/>
    <row r="30" ht="16" customHeight="1">
      <c r="B30" s="6" t="inlineStr">
        <is>
          <t>5. ПОРЯДОК ОПЛАТЫ</t>
        </is>
      </c>
      <c r="C30" s="7" t="n"/>
      <c r="D30" s="7" t="n"/>
      <c r="E30" s="7" t="n"/>
      <c r="F30" s="7" t="n"/>
      <c r="G30" s="7" t="n"/>
      <c r="H30" s="8" t="n"/>
    </row>
    <row r="31" ht="14" customHeight="1">
      <c r="B31" s="46" t="inlineStr">
        <is>
          <t>1) без комиссии — в отделениях АО «Россельхозбанк» (банк, в котором открыт специальный счёт дома);</t>
        </is>
      </c>
      <c r="C31" s="47" t="n"/>
      <c r="D31" s="47" t="n"/>
      <c r="E31" s="47" t="n"/>
      <c r="F31" s="47" t="n"/>
      <c r="G31" s="48" t="n"/>
      <c r="H31" s="49" t="n"/>
    </row>
    <row r="32" ht="26" customHeight="1">
      <c r="B32" s="46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2" s="47" t="n"/>
      <c r="D32" s="47" t="n"/>
      <c r="E32" s="47" t="n"/>
      <c r="F32" s="47" t="n"/>
      <c r="G32" s="48" t="n"/>
      <c r="H32" s="49" t="n"/>
    </row>
    <row r="33" ht="14" customHeight="1">
      <c r="B33" s="46" t="n"/>
      <c r="C33" s="47" t="n"/>
      <c r="D33" s="47" t="n"/>
      <c r="E33" s="47" t="n"/>
      <c r="F33" s="47" t="n"/>
      <c r="G33" s="48" t="n"/>
      <c r="H33" s="49" t="n"/>
    </row>
    <row r="34" ht="14" customHeight="1">
      <c r="B34" s="12" t="inlineStr">
        <is>
          <t>Назначение платежа:</t>
        </is>
      </c>
      <c r="C34" s="15" t="n"/>
      <c r="D34" s="15" t="n"/>
      <c r="E34" s="15" t="n"/>
      <c r="F34" s="15" t="n"/>
      <c r="G34" s="48" t="n"/>
      <c r="H34" s="49" t="n"/>
    </row>
    <row r="35" ht="30" customHeight="1">
      <c r="B35" s="46">
        <f>"Взнос на капитальный ремонт, л/с № "&amp;КВ_ЛС&amp;", кв. № "&amp;IFERROR(INDEX(ДАННЫЕ!$B:$B,MATCH(КВ_ЛС,ДАННЫЕ!$A:$A,0)),"")&amp;", за "&amp;IF(IFERROR(INDEX(ДАННЫЕ!$M:$M,MATCH(КВ_ЛС,ДАННЫЕ!$A:$A,0)),"")="",НАСТРОЙКИ!$B$14,INDEX(ДАННЫЕ!$M:$M,MATCH(КВ_ЛС,ДАННЫЕ!$A:$A,0)))&amp;"."</f>
        <v/>
      </c>
      <c r="C35" s="47" t="n"/>
      <c r="D35" s="47" t="n"/>
      <c r="E35" s="47" t="n"/>
      <c r="F35" s="47" t="n"/>
      <c r="G35" s="48" t="n"/>
      <c r="H35" s="49" t="n"/>
    </row>
    <row r="36" ht="26" customHeight="1">
      <c r="B36" s="50">
        <f>"Срок оплаты: до "&amp;НАСТРОЙКИ!$B$16&amp;" числа каждого месяца (за "&amp;IF(IFERROR(INDEX(ДАННЫЕ!$M:$M,MATCH(КВ_ЛС,ДАННЫЕ!$A:$A,0)),"")="",НАСТРОЙКИ!$B$14,INDEX(ДАННЫЕ!$M:$M,MATCH(КВ_ЛС,ДАННЫЕ!$A:$A,0)))&amp;" — до "&amp;TEXT(DAY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TEXT(MONTH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YEAR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&amp;")."&amp;CHAR(10)&amp;"Основание: ч. 1 ст. 155, ч. 2 ст. 171 ЖК РФ."</f>
        <v/>
      </c>
      <c r="C36" s="51" t="n"/>
      <c r="D36" s="51" t="n"/>
      <c r="E36" s="51" t="n"/>
      <c r="F36" s="51" t="n"/>
      <c r="G36" s="52" t="n"/>
      <c r="H36" s="53" t="n"/>
    </row>
    <row r="37" ht="5" customHeight="1"/>
    <row r="38" ht="32" customHeight="1">
      <c r="B38" s="54">
        <f>"ВНИМАНИЕ! ПЛАТИТЕ ТОЛЬКО ПО НОМЕРУ РАСЧЁТНОГО СЧЁТА "&amp;НАСТРОЙКИ!$B$7&amp;" — ЭТО СПЕЦИАЛЬНЫЙ СЧЁТ ВАШЕГО ДОМА"</f>
        <v/>
      </c>
      <c r="C38" s="54" t="n"/>
      <c r="D38" s="54" t="n"/>
      <c r="E38" s="54" t="n"/>
      <c r="F38" s="54" t="n"/>
      <c r="G38" s="54" t="n"/>
      <c r="H38" s="54" t="n"/>
    </row>
    <row r="39" ht="44" customHeight="1">
      <c r="B39" s="55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39" s="55" t="n"/>
      <c r="D39" s="55" t="n"/>
      <c r="E39" s="55" t="n"/>
      <c r="F39" s="55" t="n"/>
      <c r="G39" s="55" t="n"/>
      <c r="H39" s="55" t="n"/>
    </row>
    <row r="40" ht="6" customHeight="1"/>
    <row r="41" ht="24" customHeight="1">
      <c r="B41" s="56" t="inlineStr">
        <is>
          <t>Подпись плательщика  ______________________</t>
        </is>
      </c>
      <c r="C41" s="56" t="n"/>
      <c r="D41" s="56" t="n"/>
      <c r="E41" s="56" t="inlineStr">
        <is>
          <t>Кассир  ______________</t>
        </is>
      </c>
      <c r="F41" s="56" t="n"/>
      <c r="G41" s="56" t="inlineStr">
        <is>
          <t>Дата  ____________</t>
        </is>
      </c>
      <c r="H41" s="56" t="n"/>
    </row>
    <row r="42" ht="22" customHeight="1">
      <c r="B42" s="57">
        <f>"Начисление за "&amp;IF(IFERROR(INDEX(ДАННЫЕ!$M:$M,MATCH(КВ_ЛС,ДАННЫЕ!$A:$A,0)),"")="",НАСТРОЙКИ!$B$14,INDEX(ДАННЫЕ!$M:$M,MATCH(КВ_ЛС,ДАННЫЕ!$A:$A,0)))&amp;".    По вопросам начислений обращайтесь к председателю совета дома, тел. "&amp;НАСТРОЙКИ!$B$13&amp;"."</f>
        <v/>
      </c>
      <c r="C42" s="57" t="n"/>
      <c r="D42" s="57" t="n"/>
      <c r="E42" s="57" t="n"/>
      <c r="F42" s="57" t="n"/>
      <c r="G42" s="57" t="n"/>
      <c r="H42" s="57" t="n"/>
    </row>
  </sheetData>
  <mergeCells count="46">
    <mergeCell ref="C10:H10"/>
    <mergeCell ref="C16:H16"/>
    <mergeCell ref="C9:H9"/>
    <mergeCell ref="G27:H27"/>
    <mergeCell ref="F8:H8"/>
    <mergeCell ref="B30:H30"/>
    <mergeCell ref="B31:F31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24:G24"/>
    <mergeCell ref="B34:F34"/>
    <mergeCell ref="B41:D41"/>
    <mergeCell ref="C11:D11"/>
    <mergeCell ref="B28:F28"/>
    <mergeCell ref="B21:E21"/>
    <mergeCell ref="F23:G23"/>
    <mergeCell ref="B39:H39"/>
    <mergeCell ref="B2:H2"/>
    <mergeCell ref="G14:H14"/>
    <mergeCell ref="F22:G22"/>
    <mergeCell ref="G31:H36"/>
    <mergeCell ref="B42:H42"/>
    <mergeCell ref="F11:H11"/>
    <mergeCell ref="C8:D8"/>
    <mergeCell ref="C15:H15"/>
    <mergeCell ref="C6:H6"/>
    <mergeCell ref="B23:E23"/>
    <mergeCell ref="B13:H13"/>
    <mergeCell ref="B33:F33"/>
    <mergeCell ref="E41:F41"/>
    <mergeCell ref="G41:H41"/>
    <mergeCell ref="B38:H38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8" t="inlineStr">
        <is>
          <t>Параметр</t>
        </is>
      </c>
      <c r="B1" s="58" t="inlineStr">
        <is>
          <t>Значение</t>
        </is>
      </c>
      <c r="C1" s="58" t="inlineStr">
        <is>
          <t>Примечание</t>
        </is>
      </c>
    </row>
    <row r="2">
      <c r="A2" s="59" t="inlineStr">
        <is>
          <t>Получатель платежа</t>
        </is>
      </c>
      <c r="B2" s="60" t="inlineStr">
        <is>
          <t>РЕГИОНАЛЬНЫЙ ФОНД КАПИТАЛЬНОГО РЕМОНТА МНОГОКВАРТИРНЫХ ДОМОВ ОМСКОЙ ОБЛАСТИ (СПЕЦ. СЧЕТ)</t>
        </is>
      </c>
      <c r="C2" s="61" t="inlineStr">
        <is>
          <t>Владелец специального счёта МКД</t>
        </is>
      </c>
    </row>
    <row r="3">
      <c r="A3" s="59" t="inlineStr">
        <is>
          <t>Юридический адрес</t>
        </is>
      </c>
      <c r="B3" s="60" t="inlineStr">
        <is>
          <t>644099, г. Омск, ул. Краснофлотская, 24</t>
        </is>
      </c>
      <c r="C3" s="61" t="inlineStr">
        <is>
          <t>Из образца</t>
        </is>
      </c>
    </row>
    <row r="4">
      <c r="A4" s="59" t="inlineStr">
        <is>
          <t>ИНН</t>
        </is>
      </c>
      <c r="B4" s="60" t="inlineStr">
        <is>
          <t>5503239348</t>
        </is>
      </c>
      <c r="C4" s="61" t="inlineStr">
        <is>
          <t>Из образца</t>
        </is>
      </c>
    </row>
    <row r="5">
      <c r="A5" s="59" t="inlineStr">
        <is>
          <t>КПП</t>
        </is>
      </c>
      <c r="B5" s="60" t="inlineStr">
        <is>
          <t>550301001</t>
        </is>
      </c>
      <c r="C5" s="61" t="inlineStr">
        <is>
          <t>Из образца</t>
        </is>
      </c>
    </row>
    <row r="6">
      <c r="A6" s="59" t="inlineStr">
        <is>
          <t>ОГРН</t>
        </is>
      </c>
      <c r="B6" s="60" t="inlineStr">
        <is>
          <t>1027700342890</t>
        </is>
      </c>
      <c r="C6" s="61" t="inlineStr">
        <is>
          <t>Из образца</t>
        </is>
      </c>
    </row>
    <row r="7">
      <c r="A7" s="59" t="inlineStr">
        <is>
          <t>Расчётный счёт (спец. счёт МКД)</t>
        </is>
      </c>
      <c r="B7" s="60" t="inlineStr">
        <is>
          <t>40604810809000000154</t>
        </is>
      </c>
      <c r="C7" s="61" t="inlineStr">
        <is>
          <t>Специальный счёт дома по ул. Магистральная, 2</t>
        </is>
      </c>
    </row>
    <row r="8">
      <c r="A8" s="59" t="inlineStr">
        <is>
          <t>Банк</t>
        </is>
      </c>
      <c r="B8" s="60" t="inlineStr">
        <is>
          <t>Омский РФ АО «Россельхозбанк»</t>
        </is>
      </c>
      <c r="C8" s="61" t="inlineStr">
        <is>
          <t>Из образца</t>
        </is>
      </c>
    </row>
    <row r="9">
      <c r="A9" s="59" t="inlineStr">
        <is>
          <t>Корреспондентский счёт</t>
        </is>
      </c>
      <c r="B9" s="60" t="inlineStr">
        <is>
          <t>30101810900000000822</t>
        </is>
      </c>
      <c r="C9" s="61" t="inlineStr">
        <is>
          <t>Из образца</t>
        </is>
      </c>
    </row>
    <row r="10">
      <c r="A10" s="59" t="inlineStr">
        <is>
          <t>БИК</t>
        </is>
      </c>
      <c r="B10" s="60" t="inlineStr">
        <is>
          <t>045209822</t>
        </is>
      </c>
      <c r="C10" s="61" t="inlineStr">
        <is>
          <t>Из образца</t>
        </is>
      </c>
    </row>
    <row r="11">
      <c r="A11" s="59" t="inlineStr">
        <is>
          <t>ИНН/КПП банка</t>
        </is>
      </c>
      <c r="B11" s="60" t="inlineStr">
        <is>
          <t>7725114488 / 550502001</t>
        </is>
      </c>
      <c r="C11" s="61" t="inlineStr">
        <is>
          <t>Из образца</t>
        </is>
      </c>
    </row>
    <row r="12">
      <c r="A12" s="59" t="inlineStr">
        <is>
          <t>Адрес МКД</t>
        </is>
      </c>
      <c r="B12" s="60" t="inlineStr">
        <is>
          <t>г. Омск, ул. Магистральная, 2</t>
        </is>
      </c>
      <c r="C12" s="61" t="inlineStr">
        <is>
          <t>Из образца</t>
        </is>
      </c>
    </row>
    <row r="13">
      <c r="A13" s="59" t="inlineStr">
        <is>
          <t>Контактный телефон</t>
        </is>
      </c>
      <c r="B13" s="60" t="inlineStr">
        <is>
          <t>8 908 108 02 00</t>
        </is>
      </c>
      <c r="C13" s="61" t="inlineStr">
        <is>
          <t>Председатель совета дома</t>
        </is>
      </c>
    </row>
    <row r="14">
      <c r="A14" s="59" t="inlineStr">
        <is>
          <t>Расчётный период (текст)</t>
        </is>
      </c>
      <c r="B14" s="60" t="inlineStr">
        <is>
          <t>Июль 2026</t>
        </is>
      </c>
      <c r="C14" s="61" t="inlineStr">
        <is>
          <t>Подставляется в заголовок и в назначение платежа</t>
        </is>
      </c>
    </row>
    <row r="15">
      <c r="A15" s="59" t="inlineStr">
        <is>
          <t>Дата начала периода</t>
        </is>
      </c>
      <c r="B15" s="62" t="n">
        <v>46204</v>
      </c>
      <c r="C15" s="61" t="inlineStr">
        <is>
          <t>Первое число расчётного месяца</t>
        </is>
      </c>
    </row>
    <row r="16">
      <c r="A16" s="59" t="inlineStr">
        <is>
          <t>День срока оплаты</t>
        </is>
      </c>
      <c r="B16" s="60" t="n">
        <v>15</v>
      </c>
      <c r="C16" s="61" t="inlineStr">
        <is>
          <t>Единый срок по ч. 1 ст. 155 и ч. 2 ст. 171 ЖК РФ (ФЗ от 24.06.2025 № 177-ФЗ, действует с 01.03.2026). Решением общего собрания не меняется</t>
        </is>
      </c>
    </row>
    <row r="17">
      <c r="A17" s="59" t="inlineStr">
        <is>
          <t>Текущая цветовая схема</t>
        </is>
      </c>
      <c r="B17" s="60" t="inlineStr">
        <is>
          <t>ЦВЕТ</t>
        </is>
      </c>
      <c r="C17" s="61" t="inlineStr">
        <is>
          <t>ЧБ — для печати на А4; ЦВЕТ — для выгрузки в PDF. Переключается макросом</t>
        </is>
      </c>
    </row>
    <row r="20" ht="64" customHeight="1">
      <c r="A20" s="63" t="inlineStr">
        <is>
          <t>Строка QR (ГОСТ Р 56042-2014)</t>
        </is>
      </c>
      <c r="B20" s="64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5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0" customWidth="1" min="13" max="13"/>
    <col width="18" customWidth="1" min="14" max="14"/>
    <col width="18" customWidth="1" min="15" max="15"/>
  </cols>
  <sheetData>
    <row r="1" ht="34" customHeight="1">
      <c r="A1" s="66" t="inlineStr">
        <is>
          <t>Лицевой счёт</t>
        </is>
      </c>
      <c r="B1" s="66" t="inlineStr">
        <is>
          <t>Квартира</t>
        </is>
      </c>
      <c r="C1" s="66" t="inlineStr">
        <is>
          <t>ФИО собственника</t>
        </is>
      </c>
      <c r="D1" s="66" t="inlineStr">
        <is>
          <t>Адрес помещения</t>
        </is>
      </c>
      <c r="E1" s="66" t="inlineStr">
        <is>
          <t>Площадь, м²</t>
        </is>
      </c>
      <c r="F1" s="66" t="inlineStr">
        <is>
          <t>Размер взноса, руб./м²</t>
        </is>
      </c>
      <c r="G1" s="66" t="inlineStr">
        <is>
          <t>Начислено за период, руб.</t>
        </is>
      </c>
      <c r="H1" s="66" t="inlineStr">
        <is>
          <t>Задолженность на начало периода, руб.</t>
        </is>
      </c>
      <c r="I1" s="66" t="inlineStr">
        <is>
          <t>Перерасчёт / переплата, руб.</t>
        </is>
      </c>
      <c r="J1" s="66" t="inlineStr">
        <is>
          <t>ИТОГО к оплате, руб.</t>
        </is>
      </c>
      <c r="K1" s="66" t="inlineStr">
        <is>
          <t>Оплачено с начала года, руб.</t>
        </is>
      </c>
      <c r="L1" s="66" t="inlineStr">
        <is>
          <t>Остаток на спец. счёте МКД, руб.</t>
        </is>
      </c>
      <c r="M1" s="66" t="inlineStr">
        <is>
          <t>Расчётный период (текст)</t>
        </is>
      </c>
      <c r="N1" s="66" t="inlineStr">
        <is>
          <t>Дата начала периода</t>
        </is>
      </c>
      <c r="O1" s="66" t="inlineStr">
        <is>
          <t>Срок оплаты (если отличается)</t>
        </is>
      </c>
    </row>
    <row r="2">
      <c r="A2" s="67" t="n">
        <v>31202</v>
      </c>
      <c r="B2" s="67" t="n">
        <v>49</v>
      </c>
      <c r="C2" s="67" t="inlineStr">
        <is>
          <t>Иванов Иван Иванович</t>
        </is>
      </c>
      <c r="D2" s="67" t="inlineStr">
        <is>
          <t>г. Омск, ул. Магистральная, 2, кв. 49</t>
        </is>
      </c>
      <c r="E2" s="68" t="n">
        <v>63.1</v>
      </c>
      <c r="F2" s="69" t="n"/>
      <c r="G2" s="69" t="n">
        <v>674.99</v>
      </c>
      <c r="H2" s="69" t="n">
        <v>19501.38</v>
      </c>
      <c r="I2" s="69" t="n">
        <v>0</v>
      </c>
      <c r="J2" s="69" t="n">
        <v>20176.37</v>
      </c>
      <c r="K2" s="69" t="n">
        <v>13441.28</v>
      </c>
      <c r="L2" s="69" t="n"/>
      <c r="M2" s="67" t="inlineStr">
        <is>
          <t>Июль 2026</t>
        </is>
      </c>
      <c r="N2" s="70" t="n">
        <v>46204</v>
      </c>
      <c r="O2" s="70" t="n"/>
    </row>
    <row r="4">
      <c r="A4" s="71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 и O можно оставить пустыми — бланк рассчитает их сам либо поставит прочерк.</t>
        </is>
      </c>
    </row>
    <row r="5"/>
    <row r="6"/>
  </sheetData>
  <autoFilter ref="A1:O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6" t="inlineStr">
        <is>
          <t>Роль</t>
        </is>
      </c>
      <c r="B1" s="66" t="inlineStr">
        <is>
          <t>Диапазоны (через запятую)</t>
        </is>
      </c>
      <c r="C1" s="66" t="inlineStr">
        <is>
          <t>ЧБ: заливка</t>
        </is>
      </c>
      <c r="D1" s="66" t="inlineStr">
        <is>
          <t>ЧБ: шрифт</t>
        </is>
      </c>
      <c r="E1" s="66" t="inlineStr">
        <is>
          <t>ЦВЕТ: заливка</t>
        </is>
      </c>
      <c r="F1" s="66" t="inlineStr">
        <is>
          <t>ЦВЕТ: шрифт</t>
        </is>
      </c>
    </row>
    <row r="2">
      <c r="A2" s="72" t="inlineStr">
        <is>
          <t>title</t>
        </is>
      </c>
      <c r="B2" s="73" t="inlineStr">
        <is>
          <t>B2:H2</t>
        </is>
      </c>
      <c r="C2" s="72" t="inlineStr">
        <is>
          <t>FFFFFF</t>
        </is>
      </c>
      <c r="D2" s="72" t="inlineStr">
        <is>
          <t>000000</t>
        </is>
      </c>
      <c r="E2" s="72" t="inlineStr">
        <is>
          <t>0F6B70</t>
        </is>
      </c>
      <c r="F2" s="72" t="inlineStr">
        <is>
          <t>FFFFFF</t>
        </is>
      </c>
    </row>
    <row r="3">
      <c r="A3" s="72" t="inlineStr">
        <is>
          <t>subtitle</t>
        </is>
      </c>
      <c r="B3" s="73" t="inlineStr">
        <is>
          <t>B3:E3,F3:H3</t>
        </is>
      </c>
      <c r="C3" s="72" t="inlineStr">
        <is>
          <t>FFFFFF</t>
        </is>
      </c>
      <c r="D3" s="72" t="inlineStr">
        <is>
          <t>000000</t>
        </is>
      </c>
      <c r="E3" s="72" t="inlineStr">
        <is>
          <t>DDEFF0</t>
        </is>
      </c>
      <c r="F3" s="72" t="inlineStr">
        <is>
          <t>0F6B70</t>
        </is>
      </c>
    </row>
    <row r="4">
      <c r="A4" s="72" t="inlineStr">
        <is>
          <t>section</t>
        </is>
      </c>
      <c r="B4" s="73" t="inlineStr">
        <is>
          <t>B5:H5,B13:H13,B19:H19,B26:H26,B30:H30</t>
        </is>
      </c>
      <c r="C4" s="72" t="inlineStr">
        <is>
          <t>FFFFFF</t>
        </is>
      </c>
      <c r="D4" s="72" t="inlineStr">
        <is>
          <t>000000</t>
        </is>
      </c>
      <c r="E4" s="72" t="inlineStr">
        <is>
          <t>0F6B70</t>
        </is>
      </c>
      <c r="F4" s="72" t="inlineStr">
        <is>
          <t>FFFFFF</t>
        </is>
      </c>
    </row>
    <row r="5">
      <c r="A5" s="72" t="inlineStr">
        <is>
          <t>thead</t>
        </is>
      </c>
      <c r="B5" s="73" t="inlineStr">
        <is>
          <t>B20:E20,F20:G20,H20</t>
        </is>
      </c>
      <c r="C5" s="72" t="inlineStr">
        <is>
          <t>FFFFFF</t>
        </is>
      </c>
      <c r="D5" s="72" t="inlineStr">
        <is>
          <t>000000</t>
        </is>
      </c>
      <c r="E5" s="72" t="inlineStr">
        <is>
          <t>263238</t>
        </is>
      </c>
      <c r="F5" s="72" t="inlineStr">
        <is>
          <t>FFFFFF</t>
        </is>
      </c>
    </row>
    <row r="6">
      <c r="A6" s="72" t="inlineStr">
        <is>
          <t>label</t>
        </is>
      </c>
      <c r="B6" s="73" t="inlineStr">
        <is>
          <t>B6,B7,B8,E8,B9,B10,B11,E11,B14,D14,F14,B15,B16,B17,D17,F17,B34:F34</t>
        </is>
      </c>
      <c r="C6" s="72" t="inlineStr">
        <is>
          <t>FFFFFF</t>
        </is>
      </c>
      <c r="D6" s="72" t="inlineStr">
        <is>
          <t>000000</t>
        </is>
      </c>
      <c r="E6" s="72" t="inlineStr">
        <is>
          <t>F3F5F5</t>
        </is>
      </c>
      <c r="F6" s="72" t="inlineStr">
        <is>
          <t>263238</t>
        </is>
      </c>
    </row>
    <row r="7">
      <c r="A7" s="72" t="inlineStr">
        <is>
          <t>value</t>
        </is>
      </c>
      <c r="B7" s="73" t="inlineStr">
        <is>
          <t>C6:H6,C7:H7,C8:D8,F8:H8,C9:H9,C10:H10,C11:D11,F11:H11,E14,G14:H14,C15:H15,C16:H16,C17,E17,G17:H17,B21:E21,F21:G21,H21,B22:E22,F22:G22,H22,B23:E23,F23:G23,H23,B27:F27,G27:H27,B28:F28,G28:H28,B31:F31,B32:F32,B33:F33,B35:F35,B42:H42</t>
        </is>
      </c>
      <c r="C7" s="72" t="inlineStr">
        <is>
          <t>FFFFFF</t>
        </is>
      </c>
      <c r="D7" s="72" t="inlineStr">
        <is>
          <t>000000</t>
        </is>
      </c>
      <c r="E7" s="72" t="inlineStr">
        <is>
          <t>FFFFFF</t>
        </is>
      </c>
      <c r="F7" s="72" t="inlineStr">
        <is>
          <t>263238</t>
        </is>
      </c>
    </row>
    <row r="8">
      <c r="A8" s="72" t="inlineStr">
        <is>
          <t>input</t>
        </is>
      </c>
      <c r="B8" s="73" t="inlineStr">
        <is>
          <t>C14</t>
        </is>
      </c>
      <c r="C8" s="72" t="inlineStr">
        <is>
          <t>FFFFFF</t>
        </is>
      </c>
      <c r="D8" s="72" t="inlineStr">
        <is>
          <t>000000</t>
        </is>
      </c>
      <c r="E8" s="72" t="inlineStr">
        <is>
          <t>E8F3F3</t>
        </is>
      </c>
      <c r="F8" s="72" t="inlineStr">
        <is>
          <t>0F6B70</t>
        </is>
      </c>
    </row>
    <row r="9">
      <c r="A9" s="72" t="inlineStr">
        <is>
          <t>total</t>
        </is>
      </c>
      <c r="B9" s="73" t="inlineStr">
        <is>
          <t>B24:G24,B38:H38</t>
        </is>
      </c>
      <c r="C9" s="72" t="inlineStr">
        <is>
          <t>FFFFFF</t>
        </is>
      </c>
      <c r="D9" s="72" t="inlineStr">
        <is>
          <t>000000</t>
        </is>
      </c>
      <c r="E9" s="72" t="inlineStr">
        <is>
          <t>0F6B70</t>
        </is>
      </c>
      <c r="F9" s="72" t="inlineStr">
        <is>
          <t>FFFFFF</t>
        </is>
      </c>
    </row>
    <row r="10">
      <c r="A10" s="72" t="inlineStr">
        <is>
          <t>totalsum</t>
        </is>
      </c>
      <c r="B10" s="73" t="inlineStr">
        <is>
          <t>H24</t>
        </is>
      </c>
      <c r="C10" s="72" t="inlineStr">
        <is>
          <t>FFFFFF</t>
        </is>
      </c>
      <c r="D10" s="72" t="inlineStr">
        <is>
          <t>000000</t>
        </is>
      </c>
      <c r="E10" s="72" t="inlineStr">
        <is>
          <t>E8F3F3</t>
        </is>
      </c>
      <c r="F10" s="72" t="inlineStr">
        <is>
          <t>0F6B70</t>
        </is>
      </c>
    </row>
    <row r="11">
      <c r="A11" s="72" t="inlineStr">
        <is>
          <t>note</t>
        </is>
      </c>
      <c r="B11" s="73" t="inlineStr">
        <is>
          <t>B36:F36,B39:H39</t>
        </is>
      </c>
      <c r="C11" s="72" t="inlineStr">
        <is>
          <t>FFFFFF</t>
        </is>
      </c>
      <c r="D11" s="72" t="inlineStr">
        <is>
          <t>000000</t>
        </is>
      </c>
      <c r="E11" s="72" t="inlineStr">
        <is>
          <t>E8F3F3</t>
        </is>
      </c>
      <c r="F11" s="72" t="inlineStr">
        <is>
          <t>263238</t>
        </is>
      </c>
    </row>
    <row r="12">
      <c r="A12" s="72" t="inlineStr">
        <is>
          <t>qr</t>
        </is>
      </c>
      <c r="B12" s="73" t="inlineStr">
        <is>
          <t>G31:H36</t>
        </is>
      </c>
      <c r="C12" s="72" t="inlineStr">
        <is>
          <t>FFFFFF</t>
        </is>
      </c>
      <c r="D12" s="72" t="inlineStr">
        <is>
          <t>000000</t>
        </is>
      </c>
      <c r="E12" s="72" t="inlineStr">
        <is>
          <t>F3F5F5</t>
        </is>
      </c>
      <c r="F12" s="72" t="inlineStr">
        <is>
          <t>0F6B70</t>
        </is>
      </c>
    </row>
    <row r="13">
      <c r="A13" s="72" t="inlineStr">
        <is>
          <t>plain</t>
        </is>
      </c>
      <c r="B13" s="73" t="inlineStr">
        <is>
          <t>B41:D41,E41:F41,G41:H41</t>
        </is>
      </c>
      <c r="C13" s="72" t="inlineStr">
        <is>
          <t>FFFFFF</t>
        </is>
      </c>
      <c r="D13" s="72" t="inlineStr">
        <is>
          <t>000000</t>
        </is>
      </c>
      <c r="E13" s="72" t="inlineStr">
        <is>
          <t>FFFFFF</t>
        </is>
      </c>
      <c r="F13" s="72" t="inlineStr">
        <is>
          <t>263238</t>
        </is>
      </c>
    </row>
    <row r="15">
      <c r="A15" s="71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4" t="inlineStr">
        <is>
          <t>КАК ВСТРОИТЬ ЭТОТ БЛАНК В СУЩЕСТВУЮЩУЮ ТАБЛИЦУ РАЗНОСКИ</t>
        </is>
      </c>
    </row>
    <row r="2" ht="8" customHeight="1">
      <c r="A2" s="75" t="inlineStr"/>
    </row>
    <row r="3" ht="22" customHeight="1">
      <c r="A3" s="76" t="inlineStr">
        <is>
          <t>1. Перенос листов</t>
        </is>
      </c>
    </row>
    <row r="4" ht="32" customHeight="1">
      <c r="A4" s="77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7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7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5" t="inlineStr"/>
    </row>
    <row r="8" ht="22" customHeight="1">
      <c r="A8" s="76" t="inlineStr">
        <is>
          <t>2. Подключение разноски</t>
        </is>
      </c>
    </row>
    <row r="9" ht="32" customHeight="1">
      <c r="A9" s="77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7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5" t="inlineStr"/>
    </row>
    <row r="12" ht="22" customHeight="1">
      <c r="A12" s="76" t="inlineStr">
        <is>
          <t>3. Автоподстановка сумм</t>
        </is>
      </c>
    </row>
    <row r="13" ht="32" customHeight="1">
      <c r="A13" s="77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7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7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5" t="inlineStr"/>
    </row>
    <row r="17" ht="22" customHeight="1">
      <c r="A17" s="76" t="inlineStr">
        <is>
          <t>4. Печать и PDF</t>
        </is>
      </c>
    </row>
    <row r="18" ht="32" customHeight="1">
      <c r="A18" s="77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7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7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7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5" t="inlineStr"/>
    </row>
    <row r="23" ht="22" customHeight="1">
      <c r="A23" s="76" t="inlineStr">
        <is>
          <t>5. QR-код</t>
        </is>
      </c>
    </row>
    <row r="24" ht="32" customHeight="1">
      <c r="A24" s="77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7" t="inlineStr">
        <is>
          <t>Сама картинка QR в шаблон не встроена: вставьте изображение в область G31:H36 вручную либо подключите свой генератор в процедуре ВставитьQR (в модуле оставлена заготовка).</t>
        </is>
      </c>
    </row>
    <row r="26" ht="8" customHeight="1">
      <c r="A26" s="75" t="inlineStr"/>
    </row>
    <row r="27" ht="22" customHeight="1">
      <c r="A27" s="76" t="inlineStr">
        <is>
          <t>6. Сроки</t>
        </is>
      </c>
    </row>
    <row r="28" ht="32" customHeight="1">
      <c r="A28" s="77" t="inlineStr">
        <is>
          <t>Взнос вносится до 15 числа месяца, следующего за расчётным — единый срок по ч. 1 ст. 155 и ч. 2 ст. 171 ЖК РФ в редакции Федерального закона от 24.06.2025 № 177-ФЗ (действует с 01.03.2026). Он распространяется и на взносы на капитальный ремонт по специальному счёту; решением общего собрания его изменить нельзя.</t>
        </is>
      </c>
    </row>
    <row r="29" ht="32" customHeight="1">
      <c r="A29" s="77" t="inlineStr">
        <is>
          <t>Тем же законом сдвинут срок вручения платёжного документа: его нужно представить собственнику не позднее 5 числа месяца, следующего за расчётным (раньше было не позднее 1 числа). Планируйте разноску и рассылку квитанций с запасом до этой даты.</t>
        </is>
      </c>
    </row>
    <row r="30" ht="8" customHeight="1">
      <c r="A30" s="75" t="inlineStr"/>
    </row>
    <row r="31" ht="22" customHeight="1">
      <c r="A31" s="76" t="inlineStr">
        <is>
          <t>7. Что проверить перед первой выдачей квитанций</t>
        </is>
      </c>
    </row>
    <row r="32" ht="32" customHeight="1">
      <c r="A32" s="77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33" ht="32" customHeight="1">
      <c r="A33" s="77" t="inlineStr">
        <is>
          <t>• Остаток средств на специальном счёте многоквартирного дома (столбец L). Пока он пуст, в разделе 4 стоит прочерк.</t>
        </is>
      </c>
    </row>
    <row r="34" ht="32" customHeight="1">
      <c r="A34" s="77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4">
    <mergeCell ref="A16:F16"/>
    <mergeCell ref="A27:F27"/>
    <mergeCell ref="A12:F12"/>
    <mergeCell ref="A18:F18"/>
    <mergeCell ref="A3:F3"/>
    <mergeCell ref="A21:F21"/>
    <mergeCell ref="A26:F26"/>
    <mergeCell ref="A2:F2"/>
    <mergeCell ref="A33:F33"/>
    <mergeCell ref="A14:F14"/>
    <mergeCell ref="A5:F5"/>
    <mergeCell ref="A23:F23"/>
    <mergeCell ref="A32:F32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1:F31"/>
    <mergeCell ref="A34:F34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2026-08-09T05:42:24Z</dcterms:created>
  <dcterms:modified xsi:type="dcterms:W3CDTF">2026-08-09T05:42:24Z</dcterms:modified>
</cp:coreProperties>
</file>