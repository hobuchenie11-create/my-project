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ВИТАНЦИЯ" sheetId="1" state="visible" r:id="rId1"/>
    <sheet xmlns:r="http://schemas.openxmlformats.org/officeDocument/2006/relationships" name="НАСТРОЙКИ" sheetId="2" state="visible" r:id="rId2"/>
    <sheet xmlns:r="http://schemas.openxmlformats.org/officeDocument/2006/relationships" name="ДАННЫЕ" sheetId="3" state="visible" r:id="rId3"/>
    <sheet xmlns:r="http://schemas.openxmlformats.org/officeDocument/2006/relationships" name="СХЕМА" sheetId="4" state="hidden" r:id="rId4"/>
    <sheet xmlns:r="http://schemas.openxmlformats.org/officeDocument/2006/relationships"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ДАННЫЕ!$A$1:$O$5000</definedName>
    <definedName name="_xlnm.Print_Area" localSheetId="0">'КВИТАНЦИЯ'!$A$1:$I$42</definedName>
    <definedName name="_xlnm.Print_Area" localSheetId="1">'НАСТРОЙКИ'!$A$1:$C$20</definedName>
    <definedName name="_xlnm._FilterDatabase" localSheetId="2" hidden="1">'ДАННЫЕ'!$A$1:$O$1</definedName>
    <definedName name="_xlnm.Print_Area" localSheetId="2">'ДАННЫЕ'!$A$1:$P$6</definedName>
    <definedName name="_xlnm.Print_Area" localSheetId="4">'ИНСТРУКЦИЯ'!$A$1:$F$34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1" fillId="3" borderId="3" applyAlignment="1" pivotButton="0" quotePrefix="0" xfId="0">
      <alignment horizontal="left" vertical="center" indent="1"/>
    </xf>
    <xf numFmtId="0" fontId="1" fillId="3" borderId="4" applyAlignment="1" pivotButton="0" quotePrefix="0" xfId="0">
      <alignment horizontal="left" vertical="center" indent="1"/>
    </xf>
    <xf numFmtId="0" fontId="1" fillId="3" borderId="5" applyAlignment="1" pivotButton="0" quotePrefix="0" xfId="0">
      <alignment horizontal="left" vertical="center" indent="1"/>
    </xf>
    <xf numFmtId="0" fontId="9" fillId="5" borderId="7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8" applyAlignment="1" pivotButton="0" quotePrefix="0" xfId="0">
      <alignment horizontal="left" vertical="center" wrapText="1" indent="1"/>
    </xf>
    <xf numFmtId="0" fontId="9" fillId="5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8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1" fillId="6" borderId="6" applyAlignment="1" pivotButton="0" quotePrefix="0" xfId="0">
      <alignment horizontal="left" vertical="center" indent="1"/>
    </xf>
    <xf numFmtId="0" fontId="9" fillId="5" borderId="6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 wrapText="1" indent="1"/>
    </xf>
    <xf numFmtId="166" fontId="12" fillId="6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left" vertical="center" wrapText="1" indent="1"/>
    </xf>
    <xf numFmtId="4" fontId="12" fillId="6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6" borderId="10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8" applyAlignment="1" pivotButton="0" quotePrefix="0" xfId="0">
      <alignment horizontal="right" vertical="center" indent="1"/>
    </xf>
    <xf numFmtId="0" fontId="15" fillId="3" borderId="3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indent="1"/>
    </xf>
    <xf numFmtId="4" fontId="12" fillId="6" borderId="6" applyAlignment="1" pivotButton="0" quotePrefix="0" xfId="0">
      <alignment horizontal="right" vertical="center" indent="1"/>
    </xf>
    <xf numFmtId="4" fontId="12" fillId="6" borderId="10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3120249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2" t="n"/>
      <c r="H36" s="53" t="n"/>
    </row>
    <row r="37" ht="5" customHeight="1"/>
    <row r="38" ht="32" customHeight="1">
      <c r="B38" s="54">
        <f>"ВНИМАНИЕ! ПЛАТИТЕ ТОЛЬКО ПО НОМЕРУ РАСЧЁТНОГО СЧЁТА "&amp;НАСТРОЙКИ!$B$7&amp;" — ЭТО СПЕЦИАЛЬНЫЙ СЧЁТ ВАШЕГО ДОМА"</f>
        <v/>
      </c>
      <c r="C38" s="54" t="n"/>
      <c r="D38" s="54" t="n"/>
      <c r="E38" s="54" t="n"/>
      <c r="F38" s="54" t="n"/>
      <c r="G38" s="54" t="n"/>
      <c r="H38" s="54" t="n"/>
    </row>
    <row r="39" ht="44" customHeight="1">
      <c r="B39" s="55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5" t="n"/>
      <c r="D39" s="55" t="n"/>
      <c r="E39" s="55" t="n"/>
      <c r="F39" s="55" t="n"/>
      <c r="G39" s="55" t="n"/>
      <c r="H39" s="55" t="n"/>
    </row>
    <row r="40" ht="6" customHeight="1"/>
    <row r="41" ht="24" customHeight="1">
      <c r="B41" s="56" t="inlineStr">
        <is>
          <t>Подпись плательщика  ______________________</t>
        </is>
      </c>
      <c r="C41" s="56" t="n"/>
      <c r="D41" s="56" t="n"/>
      <c r="E41" s="56" t="inlineStr">
        <is>
          <t>Кассир  ______________</t>
        </is>
      </c>
      <c r="F41" s="56" t="n"/>
      <c r="G41" s="56" t="inlineStr">
        <is>
          <t>Дата  ____________</t>
        </is>
      </c>
      <c r="H41" s="56" t="n"/>
    </row>
    <row r="42" ht="22" customHeight="1">
      <c r="B42" s="57">
        <f>"Начисление за "&amp;IF(IFERROR(INDEX(ДАННЫЕ!$M:$M,MATCH(КВ_ЛС,ДАННЫЕ!$A:$A,0)),"")="",НАСТРОЙКИ!$B$14,INDEX(ДАННЫЕ!$M:$M,MATCH(КВ_ЛС,ДАННЫЕ!$A:$A,0)))&amp;".    По вопросам начислений обращайтесь к председателю совета дома, тел. "&amp;НАСТРОЙКИ!$B$13&amp;"."</f>
        <v/>
      </c>
      <c r="C42" s="57" t="n"/>
      <c r="D42" s="57" t="n"/>
      <c r="E42" s="57" t="n"/>
      <c r="F42" s="57" t="n"/>
      <c r="G42" s="57" t="n"/>
      <c r="H42" s="57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День срока оплаты</t>
        </is>
      </c>
      <c r="B16" s="60" t="n">
        <v>15</v>
      </c>
      <c r="C16" s="61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4" right="0.4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Расчётный период (текст)</t>
        </is>
      </c>
      <c r="N1" s="66" t="inlineStr">
        <is>
          <t>Дата начала периода</t>
        </is>
      </c>
      <c r="O1" s="66" t="inlineStr">
        <is>
          <t>Срок оплаты (если отличается)</t>
        </is>
      </c>
    </row>
    <row r="2">
      <c r="A2" s="67" t="n">
        <v>3120249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7" t="inlineStr">
        <is>
          <t>Июль 2026</t>
        </is>
      </c>
      <c r="N2" s="70" t="n">
        <v>46204</v>
      </c>
      <c r="O2" s="70" t="n"/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Лицевой счёт складывается из номера дома и номера квартиры: 31202 + 49 = 3120249. Столбцы F, J, L и O можно оставить пустыми — бланк рассчитает их сам либо поставит прочерк.</t>
        </is>
      </c>
    </row>
    <row r="5"/>
    <row r="6"/>
  </sheetData>
  <autoFilter ref="A1:O1"/>
  <mergeCells count="1">
    <mergeCell ref="A4:H6"/>
  </mergeCells>
  <pageMargins left="0.3" right="0.3" top="0.3" bottom="0.3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FFFFFF</t>
        </is>
      </c>
      <c r="D2" s="72" t="inlineStr">
        <is>
          <t>000000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B5:H5,B13:H13,B19:H19,B26:H26,B30:H30</t>
        </is>
      </c>
      <c r="C4" s="72" t="inlineStr">
        <is>
          <t>FFFFFF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FFFFFF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B6,B7,B8,E8,B9,B10,B11,E11,B14,D14,F14,B15,B16,B17,D17,F17,B34:F34</t>
        </is>
      </c>
      <c r="C6" s="72" t="inlineStr">
        <is>
          <t>FFFFFF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B24:G24,B38:H38</t>
        </is>
      </c>
      <c r="C9" s="72" t="inlineStr">
        <is>
          <t>FFFFFF</t>
        </is>
      </c>
      <c r="D9" s="72" t="inlineStr">
        <is>
          <t>000000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B36:F36,B39:H39</t>
        </is>
      </c>
      <c r="C11" s="72" t="inlineStr">
        <is>
          <t>FFFFFF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G31:H36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B41:D41,E41:F41,G41:H41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Сроки</t>
        </is>
      </c>
    </row>
    <row r="28" ht="32" customHeight="1">
      <c r="A28" s="77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7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5" t="inlineStr"/>
    </row>
    <row r="31" ht="22" customHeight="1">
      <c r="A31" s="76" t="inlineStr">
        <is>
          <t>7. Что проверить перед первой выдачей квитанций</t>
        </is>
      </c>
    </row>
    <row r="32" ht="32" customHeight="1">
      <c r="A32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7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2026-08-10T06:49:53Z</dcterms:created>
  <dcterms:modified xmlns:dcterms="http://purl.org/dc/terms/" xmlns:xsi="http://www.w3.org/2001/XMLSchema-instance" xsi:type="dcterms:W3CDTF">2026-08-10T06:49:53Z</dcterms:modified>
</cp:coreProperties>
</file>