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НАКОПЛЕНО">КВИТАНЦИЯ!$G$28</definedName>
    <definedName name="КВ_ОСТАТОК">КВИТАНЦИЯ!$G$29</definedName>
    <definedName name="КВ_QR_МЕСТО">КВИТАНЦИЯ!$G$32</definedName>
    <definedName name="КВ_QR">НАСТРОЙКИ!$B$20</definedName>
    <definedName name="КВ_СХЕМА">НАСТРОЙКИ!$B$17</definedName>
    <definedName name="ДАННЫЕ_ТАБЛИЦА">ДАННЫЕ!$A$1:$Q$5000</definedName>
    <definedName name="_xlnm.Print_Area" localSheetId="0">'КВИТАНЦИЯ'!$A$1:$I$41</definedName>
    <definedName name="_xlnm._FilterDatabase" localSheetId="2" hidden="1">'ДАННЫЕ'!$A$1:$Q$1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2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3"/>
    </font>
    <font>
      <name val="Arial"/>
      <b val="1"/>
      <color rgb="000F6B70"/>
      <sz val="14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6" fillId="3" borderId="6" applyAlignment="1" pivotButton="0" quotePrefix="0" xfId="0">
      <alignment horizontal="left" vertical="center" indent="1"/>
    </xf>
    <xf numFmtId="0" fontId="6" fillId="3" borderId="7" applyAlignment="1" pivotButton="0" quotePrefix="0" xfId="0">
      <alignment horizontal="left" vertical="center" indent="1"/>
    </xf>
    <xf numFmtId="0" fontId="6" fillId="3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10" applyAlignment="1" pivotButton="0" quotePrefix="0" xfId="0">
      <alignment horizontal="left" vertical="center" wrapText="1" indent="1"/>
    </xf>
    <xf numFmtId="0" fontId="9" fillId="5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10" applyAlignment="1" pivotButton="0" quotePrefix="0" xfId="0">
      <alignment horizontal="left" vertical="center" indent="1"/>
    </xf>
    <xf numFmtId="0" fontId="9" fillId="5" borderId="11" applyAlignment="1" pivotButton="0" quotePrefix="0" xfId="0">
      <alignment horizontal="left" vertical="center" indent="1"/>
    </xf>
    <xf numFmtId="0" fontId="11" fillId="6" borderId="12" applyAlignment="1" pivotButton="0" quotePrefix="0" xfId="0">
      <alignment horizontal="left" vertical="center" indent="1"/>
    </xf>
    <xf numFmtId="0" fontId="9" fillId="5" borderId="12" applyAlignment="1" pivotButton="0" quotePrefix="0" xfId="0">
      <alignment horizontal="left" vertical="center" indent="1"/>
    </xf>
    <xf numFmtId="0" fontId="11" fillId="6" borderId="13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10" applyAlignment="1" pivotButton="0" quotePrefix="0" xfId="0">
      <alignment horizontal="center" vertical="center"/>
    </xf>
    <xf numFmtId="0" fontId="9" fillId="5" borderId="11" applyAlignment="1" pivotButton="0" quotePrefix="0" xfId="0">
      <alignment horizontal="left" vertical="center" wrapText="1" indent="1"/>
    </xf>
    <xf numFmtId="166" fontId="12" fillId="6" borderId="12" applyAlignment="1" pivotButton="0" quotePrefix="0" xfId="0">
      <alignment horizontal="center" vertical="center"/>
    </xf>
    <xf numFmtId="0" fontId="9" fillId="5" borderId="12" applyAlignment="1" pivotButton="0" quotePrefix="0" xfId="0">
      <alignment horizontal="left" vertical="center" wrapText="1" indent="1"/>
    </xf>
    <xf numFmtId="4" fontId="12" fillId="6" borderId="12" applyAlignment="1" pivotButton="0" quotePrefix="0" xfId="0">
      <alignment horizontal="center" vertical="center"/>
    </xf>
    <xf numFmtId="0" fontId="12" fillId="6" borderId="12" applyAlignment="1" pivotButton="0" quotePrefix="0" xfId="0">
      <alignment horizontal="center" vertical="center"/>
    </xf>
    <xf numFmtId="0" fontId="12" fillId="6" borderId="13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9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10" applyAlignment="1" pivotButton="0" quotePrefix="0" xfId="0">
      <alignment horizontal="right" vertical="center" indent="1"/>
    </xf>
    <xf numFmtId="0" fontId="15" fillId="3" borderId="11" applyAlignment="1" pivotButton="0" quotePrefix="0" xfId="0">
      <alignment horizontal="left" vertical="center" indent="1"/>
    </xf>
    <xf numFmtId="0" fontId="15" fillId="3" borderId="12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11" applyAlignment="1" pivotButton="0" quotePrefix="0" xfId="0">
      <alignment horizontal="left" vertical="center" indent="1"/>
    </xf>
    <xf numFmtId="4" fontId="12" fillId="6" borderId="12" applyAlignment="1" pivotButton="0" quotePrefix="0" xfId="0">
      <alignment horizontal="right" vertical="center" indent="1"/>
    </xf>
    <xf numFmtId="4" fontId="12" fillId="6" borderId="13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0" fillId="7" borderId="11" applyAlignment="1" pivotButton="0" quotePrefix="0" xfId="0">
      <alignment horizontal="center" vertical="center"/>
    </xf>
    <xf numFmtId="0" fontId="10" fillId="7" borderId="12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center" wrapText="1"/>
    </xf>
    <xf numFmtId="0" fontId="8" fillId="5" borderId="13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1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30" customHeight="1">
      <c r="B2" s="1" t="inlineStr">
        <is>
          <t>ВЗНОС НА КАПИТАЛЬНЫЙ РЕМОНТ ОБЩЕГО ИМУЩЕСТВА В МНОГОКВАРТИРНОМ ДОМЕ</t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"&amp;IF(IFERROR(INDEX(ДАННЫЕ!$N:$N,MATCH(КВ_ЛС,ДАННЫЕ!$A:$A,0)),"")="",НАСТРОЙКИ!$B$14,INDEX(ДАННЫЕ!$N:$N,MATCH(КВ_ЛС,ДАННЫЕ!$A:$A,0)))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IF(IFERROR(INDEX(ДАННЫЕ!$N:$N,MATCH(КВ_ЛС,ДАННЫЕ!$A:$A,0)),"")="",НАСТРОЙКИ!$B$14,INDEX(ДАННЫЕ!$N:$N,MATCH(КВ_ЛС,ДАННЫЕ!$A:$A,0)))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IF(IFERROR(INDEX(ДАННЫЕ!$N:$N,MATCH(КВ_ЛС,ДАННЫЕ!$A:$A,0)),"")="",НАСТРОЙКИ!$B$14,INDEX(ДАННЫЕ!$N:$N,MATCH(КВ_ЛС,ДАННЫЕ!$A:$A,0)))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O:$O,MATCH(КВ_ЛС,ДАННЫЕ!$A:$A,0)),"")="",НАСТРОЙКИ!$B$15,INDEX(ДАННЫЕ!$O:$O,MATCH(КВ_ЛС,ДАННЫЕ!$A:$A,0)))),"00")&amp;"."&amp;TEXT(MONTH(IF(IFERROR(INDEX(ДАННЫЕ!$O:$O,MATCH(КВ_ЛС,ДАННЫЕ!$A:$A,0)),"")="",НАСТРОЙКИ!$B$15,INDEX(ДАННЫЕ!$O:$O,MATCH(КВ_ЛС,ДАННЫЕ!$A:$A,0)))),"00")&amp;"."&amp;YEAR(IF(IFERROR(INDEX(ДАННЫЕ!$O:$O,MATCH(КВ_ЛС,ДАННЫЕ!$A:$A,0)),"")="",НАСТРОЙКИ!$B$15,INDEX(ДАННЫЕ!$O:$O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"&amp;YEAR(IF(IFERROR(INDEX(ДАННЫЕ!$O:$O,MATCH(КВ_ЛС,ДАННЫЕ!$A:$A,0)),"")="",НАСТРОЙКИ!$B$15,INDEX(ДАННЫЕ!$O:$O,MATCH(КВ_ЛС,ДАННЫЕ!$A:$A,0))))&amp;"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36" t="inlineStr">
        <is>
          <t>Размер фонда капитального ремонта, накопленного по лицевому счёту, руб.</t>
        </is>
      </c>
      <c r="C28" s="13" t="n"/>
      <c r="D28" s="13" t="n"/>
      <c r="E28" s="13" t="n"/>
      <c r="F28" s="13" t="n"/>
      <c r="G28" s="42">
        <f>IF(IFERROR(INDEX(ДАННЫЕ!$M:$M,MATCH(КВ_ЛС,ДАННЫЕ!$A:$A,0)),"")="","—",INDEX(ДАННЫЕ!$M:$M,MATCH(КВ_ЛС,ДАННЫЕ!$A:$A,0)))</f>
        <v/>
      </c>
      <c r="H28" s="38" t="n"/>
    </row>
    <row r="29" ht="15" customHeight="1">
      <c r="B29" s="43" t="inlineStr">
        <is>
          <t>Остаток средств на специальном счёте многоквартирного дома, руб.</t>
        </is>
      </c>
      <c r="C29" s="19" t="n"/>
      <c r="D29" s="19" t="n"/>
      <c r="E29" s="19" t="n"/>
      <c r="F29" s="19" t="n"/>
      <c r="G29" s="44">
        <f>IF(IFERROR(INDEX(ДАННЫЕ!$L:$L,MATCH(КВ_ЛС,ДАННЫЕ!$A:$A,0)),"")="","—",INDEX(ДАННЫЕ!$L:$L,MATCH(КВ_ЛС,ДАННЫЕ!$A:$A,0)))</f>
        <v/>
      </c>
      <c r="H29" s="45" t="n"/>
    </row>
    <row r="30" ht="5" customHeight="1"/>
    <row r="31" ht="16" customHeight="1">
      <c r="B31" s="6" t="inlineStr">
        <is>
          <t>5. ПОРЯДОК ОПЛАТЫ</t>
        </is>
      </c>
      <c r="C31" s="7" t="n"/>
      <c r="D31" s="7" t="n"/>
      <c r="E31" s="7" t="n"/>
      <c r="F31" s="7" t="n"/>
      <c r="G31" s="7" t="n"/>
      <c r="H31" s="8" t="n"/>
    </row>
    <row r="32" ht="14" customHeight="1">
      <c r="B32" s="46" t="inlineStr">
        <is>
          <t>1) без комиссии — в отделениях АО «Россельхозбанк» (банк, в котором открыт специальный счёт дома);</t>
        </is>
      </c>
      <c r="C32" s="47" t="n"/>
      <c r="D32" s="47" t="n"/>
      <c r="E32" s="47" t="n"/>
      <c r="F32" s="47" t="n"/>
      <c r="G32" s="48" t="n"/>
      <c r="H32" s="49" t="n"/>
    </row>
    <row r="33" ht="26" customHeight="1">
      <c r="B33" s="46" t="inlineStr">
        <is>
          <t>2) по тарифам банка — переводом по указанным выше реквизитам в отделениях и мобильных приложениях ПАО Сбербанк, АО «АЛЬФА-БАНК», Банка ВТБ (ПАО), АО «ТБанк», а также любого другого банка;</t>
        </is>
      </c>
      <c r="C33" s="47" t="n"/>
      <c r="D33" s="47" t="n"/>
      <c r="E33" s="47" t="n"/>
      <c r="F33" s="47" t="n"/>
      <c r="G33" s="48" t="n"/>
      <c r="H33" s="49" t="n"/>
    </row>
    <row r="34" ht="14" customHeight="1">
      <c r="B34" s="46" t="n"/>
      <c r="C34" s="47" t="n"/>
      <c r="D34" s="47" t="n"/>
      <c r="E34" s="47" t="n"/>
      <c r="F34" s="47" t="n"/>
      <c r="G34" s="48" t="n"/>
      <c r="H34" s="49" t="n"/>
    </row>
    <row r="35" ht="14" customHeight="1">
      <c r="B35" s="12" t="inlineStr">
        <is>
          <t>Назначение платежа:</t>
        </is>
      </c>
      <c r="C35" s="15" t="n"/>
      <c r="D35" s="15" t="n"/>
      <c r="E35" s="15" t="n"/>
      <c r="F35" s="15" t="n"/>
      <c r="G35" s="48" t="n"/>
      <c r="H35" s="49" t="n"/>
    </row>
    <row r="36" ht="30" customHeight="1">
      <c r="B36" s="46">
        <f>"Взнос на капитальный ремонт, л/с № "&amp;КВ_ЛС&amp;", кв. № "&amp;IFERROR(INDEX(ДАННЫЕ!$B:$B,MATCH(КВ_ЛС,ДАННЫЕ!$A:$A,0)),"")&amp;", за "&amp;IF(IFERROR(INDEX(ДАННЫЕ!$N:$N,MATCH(КВ_ЛС,ДАННЫЕ!$A:$A,0)),"")="",НАСТРОЙКИ!$B$14,INDEX(ДАННЫЕ!$N:$N,MATCH(КВ_ЛС,ДАННЫЕ!$A:$A,0)))&amp;"."</f>
        <v/>
      </c>
      <c r="C36" s="47" t="n"/>
      <c r="D36" s="47" t="n"/>
      <c r="E36" s="47" t="n"/>
      <c r="F36" s="47" t="n"/>
      <c r="G36" s="48" t="n"/>
      <c r="H36" s="49" t="n"/>
    </row>
    <row r="37" ht="17" customHeight="1">
      <c r="B37" s="50">
        <f>"Срок оплаты: до "&amp;TEXT(DAY(IF(IFERROR(INDEX(ДАННЫЕ!$P:$P,MATCH(КВ_ЛС,ДАННЫЕ!$A:$A,0)),"")="",НАСТРОЙКИ!$B$16,INDEX(ДАННЫЕ!$P:$P,MATCH(КВ_ЛС,ДАННЫЕ!$A:$A,0)))),"00")&amp;"."&amp;TEXT(MONTH(IF(IFERROR(INDEX(ДАННЫЕ!$P:$P,MATCH(КВ_ЛС,ДАННЫЕ!$A:$A,0)),"")="",НАСТРОЙКИ!$B$16,INDEX(ДАННЫЕ!$P:$P,MATCH(КВ_ЛС,ДАННЫЕ!$A:$A,0)))),"00")&amp;"."&amp;YEAR(IF(IFERROR(INDEX(ДАННЫЕ!$P:$P,MATCH(КВ_ЛС,ДАННЫЕ!$A:$A,0)),"")="",НАСТРОЙКИ!$B$16,INDEX(ДАННЫЕ!$P:$P,MATCH(КВ_ЛС,ДАННЫЕ!$A:$A,0))))&amp;" г."</f>
        <v/>
      </c>
      <c r="C37" s="51" t="n"/>
      <c r="D37" s="51" t="n"/>
      <c r="E37" s="51" t="n"/>
      <c r="F37" s="51" t="n"/>
      <c r="G37" s="52" t="n"/>
      <c r="H37" s="53" t="n"/>
    </row>
    <row r="38" ht="5" customHeight="1"/>
    <row r="39" ht="24" customHeight="1">
      <c r="B39" s="54" t="inlineStr">
        <is>
          <t>Подпись плательщика  ______________________</t>
        </is>
      </c>
      <c r="C39" s="54" t="n"/>
      <c r="D39" s="54" t="n"/>
      <c r="E39" s="54" t="inlineStr">
        <is>
          <t>Кассир  ______________</t>
        </is>
      </c>
      <c r="F39" s="54" t="n"/>
      <c r="G39" s="54" t="inlineStr">
        <is>
          <t>Дата  ____________</t>
        </is>
      </c>
      <c r="H39" s="54" t="n"/>
    </row>
    <row r="40" ht="28" customHeight="1">
      <c r="B40" s="55" t="inlineStr">
        <is>
          <t>ВНИМАНИЕ! При оплате в банке обязательно проверяйте расчётный счёт и назначение платежа — во избежание ошибочного зачисления средств на счёт другого дома.</t>
        </is>
      </c>
      <c r="C40" s="55" t="n"/>
      <c r="D40" s="55" t="n"/>
      <c r="E40" s="55" t="n"/>
      <c r="F40" s="55" t="n"/>
      <c r="G40" s="55" t="n"/>
      <c r="H40" s="55" t="n"/>
    </row>
    <row r="41" ht="24" customHeight="1">
      <c r="B41" s="56">
        <f>"По вопросам начислений обращайтесь к председателю совета дома, тел. "&amp;НАСТРОЙКИ!$B$13&amp;".    Документ № "&amp;IF(IFERROR(INDEX(ДАННЫЕ!$Q:$Q,MATCH(КВ_ЛС,ДАННЫЕ!$A:$A,0)),"")="","—",INDEX(ДАННЫЕ!$Q:$Q,MATCH(КВ_ЛС,ДАННЫЕ!$A:$A,0)))</f>
        <v/>
      </c>
      <c r="C41" s="56" t="n"/>
      <c r="D41" s="56" t="n"/>
      <c r="E41" s="56" t="n"/>
      <c r="F41" s="56" t="n"/>
      <c r="G41" s="56" t="n"/>
      <c r="H41" s="56" t="n"/>
    </row>
  </sheetData>
  <mergeCells count="47">
    <mergeCell ref="C10:H10"/>
    <mergeCell ref="C16:H16"/>
    <mergeCell ref="B40:H40"/>
    <mergeCell ref="C9:H9"/>
    <mergeCell ref="G27:H27"/>
    <mergeCell ref="F8:H8"/>
    <mergeCell ref="B39:D39"/>
    <mergeCell ref="B20:E20"/>
    <mergeCell ref="B5:H5"/>
    <mergeCell ref="E39:F39"/>
    <mergeCell ref="G17:H17"/>
    <mergeCell ref="B27:F27"/>
    <mergeCell ref="G39:H39"/>
    <mergeCell ref="F21:G21"/>
    <mergeCell ref="B26:H26"/>
    <mergeCell ref="B41:H41"/>
    <mergeCell ref="F20:G20"/>
    <mergeCell ref="G28:H28"/>
    <mergeCell ref="B3:E3"/>
    <mergeCell ref="C7:H7"/>
    <mergeCell ref="B22:E22"/>
    <mergeCell ref="B31:H31"/>
    <mergeCell ref="B24:G24"/>
    <mergeCell ref="B29:F29"/>
    <mergeCell ref="B34:F34"/>
    <mergeCell ref="G32:H37"/>
    <mergeCell ref="C11:D11"/>
    <mergeCell ref="B28:F28"/>
    <mergeCell ref="B21:E21"/>
    <mergeCell ref="F23:G23"/>
    <mergeCell ref="B37:F37"/>
    <mergeCell ref="B2:H2"/>
    <mergeCell ref="G14:H14"/>
    <mergeCell ref="F22:G22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Срок оплаты</t>
        </is>
      </c>
      <c r="B16" s="61" t="n">
        <v>46244</v>
      </c>
      <c r="C16" s="60" t="inlineStr">
        <is>
          <t>До какого числа вносится взнос</t>
        </is>
      </c>
    </row>
    <row r="17">
      <c r="A17" s="58" t="inlineStr">
        <is>
          <t>Текущая цветовая схема</t>
        </is>
      </c>
      <c r="B17" s="59" t="inlineStr">
        <is>
          <t>ЦВЕТ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6" customWidth="1" min="13" max="13"/>
    <col width="20" customWidth="1" min="14" max="14"/>
    <col width="18" customWidth="1" min="15" max="15"/>
    <col width="14" customWidth="1" min="16" max="16"/>
    <col width="18" customWidth="1" min="17" max="17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Накоплено по лицевому счёту, руб.</t>
        </is>
      </c>
      <c r="N1" s="65" t="inlineStr">
        <is>
          <t>Расчётный период (текст)</t>
        </is>
      </c>
      <c r="O1" s="65" t="inlineStr">
        <is>
          <t>Дата начала периода</t>
        </is>
      </c>
      <c r="P1" s="65" t="inlineStr">
        <is>
          <t>Срок оплаты</t>
        </is>
      </c>
      <c r="Q1" s="65" t="inlineStr">
        <is>
          <t>№ квитанции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8" t="n"/>
      <c r="N2" s="66" t="inlineStr">
        <is>
          <t>Июль 2026</t>
        </is>
      </c>
      <c r="O2" s="69" t="n">
        <v>46204</v>
      </c>
      <c r="P2" s="69" t="n">
        <v>46244</v>
      </c>
      <c r="Q2" s="66" t="inlineStr">
        <is>
          <t>КР-2026-07-31202</t>
        </is>
      </c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L, M можно оставить пустыми — бланк рассчитает их сам либо поставит прочерк.</t>
        </is>
      </c>
    </row>
    <row r="5"/>
    <row r="6"/>
  </sheetData>
  <autoFilter ref="A1:Q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000000</t>
        </is>
      </c>
      <c r="D2" s="71" t="inlineStr">
        <is>
          <t>FFFFFF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B5:H5,B13:H13,B19:H19,B26:H26,B31:H31</t>
        </is>
      </c>
      <c r="C4" s="71" t="inlineStr">
        <is>
          <t>D9D9D9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BFBFBF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B6,B7,B8,E8,B9,B10,B11,E11,B14,D14,F14,B15,B16,B17,D17,F17,B35:F35</t>
        </is>
      </c>
      <c r="C6" s="71" t="inlineStr">
        <is>
          <t>F2F2F2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C6:H6,C7:H7,C8:D8,F8:H8,C9:H9,C10:H10,C11:D11,F11:H11,E14,G14:H14,C15:H15,C16:H16,C17,E17,G17:H17,B21:E21,F21:G21,H21,B22:E22,F22:G22,H22,B23:E23,F23:G23,H23,B27:F27,G27:H27,B28:F28,G28:H28,B29:F29,G29:H29,B32:F32,B33:F33,B34:F34,B36:F36,B41:H41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</t>
        </is>
      </c>
      <c r="C9" s="71" t="inlineStr">
        <is>
          <t>000000</t>
        </is>
      </c>
      <c r="D9" s="71" t="inlineStr">
        <is>
          <t>FFFFFF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B37:F37,B40:H40</t>
        </is>
      </c>
      <c r="C11" s="71" t="inlineStr">
        <is>
          <t>F2F2F2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G32:H37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B39:D39,E39:F39,G39:H39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G32:H37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Что проверить перед первой выдачей квитанций</t>
        </is>
      </c>
    </row>
    <row r="28" ht="32" customHeight="1">
      <c r="A28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6" t="inlineStr">
        <is>
          <t>• Остаток средств на специальном счёте и накопления по лицевому счёту (столбцы L и M). Пока они пусты, в разделе 4 стоит прочерк.</t>
        </is>
      </c>
    </row>
    <row r="30" ht="32" customHeight="1">
      <c r="A30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2026-08-08T09:07:16Z</dcterms:created>
  <dcterms:modified xsi:type="dcterms:W3CDTF">2026-08-08T09:07:16Z</dcterms:modified>
</cp:coreProperties>
</file>