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ая" sheetId="1" state="visible" r:id="rId1"/>
    <sheet xmlns:r="http://schemas.openxmlformats.org/officeDocument/2006/relationships" name="Регистрация" sheetId="2" state="visible" r:id="rId2"/>
    <sheet xmlns:r="http://schemas.openxmlformats.org/officeDocument/2006/relationships" name="История" sheetId="3" state="visible" r:id="rId3"/>
    <sheet xmlns:r="http://schemas.openxmlformats.org/officeDocument/2006/relationships" name="Аналитика" sheetId="4" state="visible" r:id="rId4"/>
    <sheet xmlns:r="http://schemas.openxmlformats.org/officeDocument/2006/relationships" name="Справочники" sheetId="5" state="visible" r:id="rId5"/>
  </sheets>
  <definedNames>
    <definedName name="RENT">Главная!$B$9</definedName>
    <definedName name="DEPOSIT">Главная!$E$9</definedName>
    <definedName name="DOG_DATE">Главная!$B$7</definedName>
    <definedName name="TERM_M">Главная!$E$7</definedName>
    <definedName name="PAY_DAY">Главная!$B$10</definedName>
    <definedName name="END_DATE">Главная!$B$8</definedName>
    <definedName name="TAX_RATE">Справочники!$B$5</definedName>
    <definedName name="COMM_PLAN">Справочники!$B$6</definedName>
    <definedName name="REMIND_D">Справочники!$B$7</definedName>
    <definedName name="L_CAT">Справочники!$A$11:$A$15</definedName>
    <definedName name="L_PAY">Справочники!$C$11:$C$16</definedName>
    <definedName name="L_PER">История!$A$6:$A$41</definedName>
    <definedName name="J_DATE">Регистрация!$B$7:$B$306</definedName>
    <definedName name="J_CAT">Регистрация!$C$7:$C$306</definedName>
    <definedName name="J_PER">Регистрация!$I$7:$I$306</definedName>
    <definedName name="J_SUM">Регистрация!$E$7:$E$306</definedName>
    <definedName name="J_PAY">Регистрация!$F$7:$F$306</definedName>
    <definedName name="_xlnm.Print_Area" localSheetId="0">'Главная'!$A$1:$E$32</definedName>
    <definedName name="_xlnm._FilterDatabase" localSheetId="1" hidden="1">'Регистрация'!$A$6:$I$306</definedName>
    <definedName name="_xlnm.Print_Titles" localSheetId="1">'Регистрация'!$1:$6</definedName>
    <definedName name="_xlnm.Print_Area" localSheetId="1">'Регистрация'!$A$1:$I$56</definedName>
    <definedName name="_xlnm.Print_Titles" localSheetId="2">'История'!$1:$5</definedName>
    <definedName name="_xlnm.Print_Area" localSheetId="2">'История'!$A$1:$G$43</definedName>
    <definedName name="_xlnm.Print_Titles" localSheetId="3">'Аналитика'!$1:$5</definedName>
    <definedName name="_xlnm.Print_Area" localSheetId="3">'Аналитика'!$A$1:$G$61</definedName>
    <definedName name="_xlnm.Print_Area" localSheetId="4">'Справочники'!$A$1:$E$31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[$-419]DD.MM.YYYY"/>
    <numFmt numFmtId="165" formatCode="0&quot; мес.&quot;"/>
    <numFmt numFmtId="166" formatCode="#,##0&quot; ₽&quot;;-#,##0&quot; ₽&quot;;&quot;—&quot;"/>
    <numFmt numFmtId="167" formatCode="0&quot; число&quot;"/>
    <numFmt numFmtId="168" formatCode="#,##0&quot; ₽&quot;;-#,##0&quot; ₽&quot;;&quot;0 ₽&quot;"/>
    <numFmt numFmtId="169" formatCode="0&quot; шт.&quot;"/>
    <numFmt numFmtId="170" formatCode="[$-419]mmmm yyyy"/>
    <numFmt numFmtId="171" formatCode="0.0%"/>
    <numFmt numFmtId="172" formatCode="0&quot; дн.&quot;"/>
  </numFmts>
  <fonts count="35">
    <font>
      <name val="Calibri"/>
      <family val="2"/>
      <color theme="1"/>
      <sz val="11"/>
      <scheme val="minor"/>
    </font>
    <font>
      <name val="Arial"/>
      <color rgb="002E2A3B"/>
      <sz val="11"/>
    </font>
    <font>
      <name val="Arial"/>
      <b val="1"/>
      <color rgb="00FFFFFF"/>
      <sz val="17"/>
    </font>
    <font>
      <name val="Arial"/>
      <color rgb="000B5F5E"/>
      <sz val="10"/>
    </font>
    <font>
      <name val="Arial"/>
      <b val="1"/>
      <color rgb="004B2E73"/>
      <sz val="11"/>
    </font>
    <font>
      <name val="Arial"/>
      <color rgb="007A7590"/>
      <sz val="10.5"/>
    </font>
    <font>
      <name val="Arial"/>
      <b val="1"/>
      <color rgb="002E2A3B"/>
      <sz val="11.5"/>
    </font>
    <font>
      <name val="Arial"/>
      <b val="1"/>
      <color rgb="006A4C93"/>
      <sz val="10.5"/>
    </font>
    <font>
      <name val="Arial"/>
      <b val="1"/>
      <color rgb="004B2E73"/>
      <sz val="11.5"/>
    </font>
    <font>
      <name val="Arial"/>
      <b val="1"/>
      <color rgb="006A4C93"/>
      <sz val="9.5"/>
    </font>
    <font>
      <name val="Arial"/>
      <b val="1"/>
      <color rgb="004B2E73"/>
      <sz val="22"/>
    </font>
    <font>
      <name val="Arial"/>
      <color rgb="007A7590"/>
      <sz val="8.5"/>
    </font>
    <font>
      <name val="Arial"/>
      <b val="1"/>
      <color rgb="000E8F8C"/>
      <sz val="9.5"/>
    </font>
    <font>
      <name val="Arial"/>
      <b val="1"/>
      <color rgb="000B5F5E"/>
      <sz val="22"/>
    </font>
    <font>
      <name val="Arial"/>
      <b val="1"/>
      <color rgb="008E6FBF"/>
      <sz val="9.5"/>
    </font>
    <font>
      <name val="Arial"/>
      <b val="1"/>
      <color rgb="0016B3AF"/>
      <sz val="9.5"/>
    </font>
    <font>
      <name val="Arial"/>
      <color rgb="007A7590"/>
      <sz val="9.5"/>
    </font>
    <font>
      <name val="Arial"/>
      <b val="1"/>
      <color rgb="00C97C1B"/>
      <sz val="9.5"/>
    </font>
    <font>
      <name val="Arial"/>
      <b val="1"/>
      <color rgb="004B2E73"/>
      <sz val="10"/>
    </font>
    <font>
      <name val="Arial"/>
      <b val="1"/>
      <color rgb="00FFFFFF"/>
      <sz val="10"/>
    </font>
    <font>
      <name val="Arial"/>
      <color rgb="007A7590"/>
      <sz val="10"/>
    </font>
    <font>
      <name val="Arial"/>
      <color rgb="002E2A3B"/>
      <sz val="10.5"/>
    </font>
    <font>
      <name val="Arial"/>
      <b val="1"/>
      <color rgb="002E2A3B"/>
      <sz val="10.5"/>
    </font>
    <font>
      <name val="Arial"/>
      <color rgb="001F7A55"/>
      <sz val="9.5"/>
    </font>
    <font>
      <name val="Arial"/>
      <color rgb="006A4C93"/>
      <sz val="9.5"/>
    </font>
    <font>
      <name val="Arial"/>
      <b val="1"/>
      <color rgb="004B2E73"/>
      <sz val="12"/>
    </font>
    <font>
      <name val="Arial"/>
      <b val="1"/>
      <color rgb="000B5F5E"/>
      <sz val="10"/>
    </font>
    <font>
      <name val="Arial"/>
      <b val="1"/>
      <color rgb="004B2E73"/>
      <sz val="10.5"/>
    </font>
    <font>
      <name val="Arial"/>
      <b val="1"/>
      <color rgb="002E2A3B"/>
      <sz val="10"/>
    </font>
    <font>
      <name val="Arial"/>
      <color rgb="002E2A3B"/>
      <sz val="10"/>
    </font>
    <font>
      <name val="Arial"/>
      <b val="1"/>
      <color rgb="000B5F5E"/>
      <sz val="10.5"/>
    </font>
    <font>
      <name val="Arial"/>
      <b val="1"/>
      <color rgb="000B5F5E"/>
      <sz val="11"/>
    </font>
    <font>
      <name val="Arial"/>
      <color rgb="007A7590"/>
      <sz val="9"/>
    </font>
    <font>
      <name val="Arial"/>
      <color rgb="000B5F5E"/>
      <sz val="10.5"/>
    </font>
    <font>
      <name val="Arial"/>
      <color rgb="000B5F5E"/>
      <sz val="9.5"/>
    </font>
  </fonts>
  <fills count="1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6A4C93"/>
      </patternFill>
    </fill>
    <fill>
      <patternFill patternType="solid">
        <fgColor rgb="00E4F7F6"/>
      </patternFill>
    </fill>
    <fill>
      <patternFill patternType="solid">
        <fgColor rgb="00E9E0F7"/>
      </patternFill>
    </fill>
    <fill>
      <patternFill patternType="solid">
        <fgColor rgb="00F3EEFB"/>
      </patternFill>
    </fill>
    <fill>
      <patternFill patternType="solid">
        <fgColor rgb="00FDF3E2"/>
      </patternFill>
    </fill>
    <fill>
      <patternFill patternType="solid">
        <fgColor rgb="000E8F8C"/>
      </patternFill>
    </fill>
    <fill>
      <patternFill patternType="solid">
        <fgColor rgb="008E6FBF"/>
      </patternFill>
    </fill>
    <fill>
      <patternFill patternType="solid">
        <fgColor rgb="0016B3AF"/>
      </patternFill>
    </fill>
    <fill>
      <patternFill patternType="solid">
        <fgColor rgb="004B2E73"/>
      </patternFill>
    </fill>
    <fill>
      <patternFill patternType="solid">
        <fgColor rgb="00E6F6EE"/>
      </patternFill>
    </fill>
    <fill>
      <patternFill patternType="solid">
        <fgColor rgb="00FBEAE8"/>
      </patternFill>
    </fill>
  </fills>
  <borders count="36">
    <border>
      <left/>
      <right/>
      <top/>
      <bottom/>
      <diagonal/>
    </border>
    <border>
      <left style="thin">
        <color rgb="00C9B6E8"/>
      </left>
      <right/>
      <top style="thin">
        <color rgb="00C9B6E8"/>
      </top>
      <bottom style="thin">
        <color rgb="00C9B6E8"/>
      </bottom>
    </border>
    <border>
      <left/>
      <right/>
      <top style="thin">
        <color rgb="00C9B6E8"/>
      </top>
      <bottom style="thin">
        <color rgb="00C9B6E8"/>
      </bottom>
    </border>
    <border>
      <left/>
      <right style="thin">
        <color rgb="00C9B6E8"/>
      </right>
      <top style="thin">
        <color rgb="00C9B6E8"/>
      </top>
      <bottom style="thin">
        <color rgb="00C9B6E8"/>
      </bottom>
    </border>
    <border>
      <left style="thin">
        <color rgb="009BDEDB"/>
      </left>
      <right/>
      <top style="thin">
        <color rgb="009BDEDB"/>
      </top>
      <bottom style="thin">
        <color rgb="009BDEDB"/>
      </bottom>
    </border>
    <border>
      <left/>
      <right/>
      <top style="thin">
        <color rgb="009BDEDB"/>
      </top>
      <bottom style="thin">
        <color rgb="009BDEDB"/>
      </bottom>
    </border>
    <border>
      <left/>
      <right style="thin">
        <color rgb="009BDEDB"/>
      </right>
      <top style="thin">
        <color rgb="009BDEDB"/>
      </top>
      <bottom style="thin">
        <color rgb="009BDEDB"/>
      </bottom>
    </border>
    <border>
      <left style="thin">
        <color rgb="009BDEDB"/>
      </left>
      <right style="thin">
        <color rgb="009BDEDB"/>
      </right>
      <top style="thin">
        <color rgb="009BDEDB"/>
      </top>
      <bottom style="thin">
        <color rgb="009BDEDB"/>
      </bottom>
    </border>
    <border>
      <left style="thin">
        <color rgb="00C9B6E8"/>
      </left>
      <right style="thin">
        <color rgb="00C9B6E8"/>
      </right>
      <top style="thin">
        <color rgb="00C9B6E8"/>
      </top>
      <bottom style="thin">
        <color rgb="00C9B6E8"/>
      </bottom>
    </border>
    <border>
      <left style="thin">
        <color rgb="00C9B6E8"/>
      </left>
      <right/>
      <top style="thin">
        <color rgb="00C9B6E8"/>
      </top>
      <bottom/>
    </border>
    <border>
      <left/>
      <right style="thin">
        <color rgb="00C9B6E8"/>
      </right>
      <top style="thin">
        <color rgb="00C9B6E8"/>
      </top>
      <bottom/>
    </border>
    <border>
      <left style="thin">
        <color rgb="00C9B6E8"/>
      </left>
      <right/>
      <top/>
      <bottom/>
    </border>
    <border>
      <left/>
      <right style="thin">
        <color rgb="00C9B6E8"/>
      </right>
      <top/>
      <bottom/>
    </border>
    <border>
      <left style="thin">
        <color rgb="00C9B6E8"/>
      </left>
      <right/>
      <top/>
      <bottom style="thin">
        <color rgb="00C9B6E8"/>
      </bottom>
    </border>
    <border>
      <left/>
      <right style="thin">
        <color rgb="00C9B6E8"/>
      </right>
      <top/>
      <bottom style="thin">
        <color rgb="00C9B6E8"/>
      </bottom>
    </border>
    <border>
      <left style="thin">
        <color rgb="009BDEDB"/>
      </left>
      <right/>
      <top style="thin">
        <color rgb="009BDEDB"/>
      </top>
      <bottom/>
    </border>
    <border>
      <left/>
      <right style="thin">
        <color rgb="009BDEDB"/>
      </right>
      <top style="thin">
        <color rgb="009BDEDB"/>
      </top>
      <bottom/>
    </border>
    <border>
      <left style="thin">
        <color rgb="009BDEDB"/>
      </left>
      <right/>
      <top/>
      <bottom/>
    </border>
    <border>
      <left/>
      <right style="thin">
        <color rgb="009BDEDB"/>
      </right>
      <top/>
      <bottom/>
    </border>
    <border>
      <left style="thin">
        <color rgb="009BDEDB"/>
      </left>
      <right/>
      <top/>
      <bottom style="thin">
        <color rgb="009BDEDB"/>
      </bottom>
    </border>
    <border>
      <left/>
      <right style="thin">
        <color rgb="009BDEDB"/>
      </right>
      <top/>
      <bottom style="thin">
        <color rgb="009BDEDB"/>
      </bottom>
    </border>
    <border>
      <left/>
      <right/>
      <top style="thin">
        <color rgb="00C9B6E8"/>
      </top>
      <bottom/>
    </border>
    <border>
      <left/>
      <right/>
      <top/>
      <bottom/>
    </border>
    <border>
      <left/>
      <right/>
      <top/>
      <bottom style="thin">
        <color rgb="00C9B6E8"/>
      </bottom>
    </border>
    <border>
      <left style="thin">
        <color rgb="004B2E73"/>
      </left>
      <right/>
      <top style="thin">
        <color rgb="004B2E73"/>
      </top>
      <bottom style="thin">
        <color rgb="004B2E73"/>
      </bottom>
    </border>
    <border>
      <left/>
      <right/>
      <top style="thin">
        <color rgb="004B2E73"/>
      </top>
      <bottom style="thin">
        <color rgb="004B2E73"/>
      </bottom>
    </border>
    <border>
      <left/>
      <right style="thin">
        <color rgb="004B2E73"/>
      </right>
      <top style="thin">
        <color rgb="004B2E73"/>
      </top>
      <bottom style="thin">
        <color rgb="004B2E73"/>
      </bottom>
    </border>
    <border>
      <left style="thin">
        <color rgb="00EDE9F5"/>
      </left>
      <right style="thin">
        <color rgb="00EDE9F5"/>
      </right>
      <bottom style="thin">
        <color rgb="00EDE9F5"/>
      </bottom>
    </border>
    <border>
      <right style="thin">
        <color rgb="00EDE9F5"/>
      </right>
      <bottom style="thin">
        <color rgb="00EDE9F5"/>
      </bottom>
    </border>
    <border>
      <left style="thin">
        <color rgb="000B5F5E"/>
      </left>
      <right/>
      <top style="thin">
        <color rgb="000B5F5E"/>
      </top>
      <bottom style="thin">
        <color rgb="000B5F5E"/>
      </bottom>
    </border>
    <border>
      <left/>
      <right/>
      <top style="thin">
        <color rgb="000B5F5E"/>
      </top>
      <bottom style="thin">
        <color rgb="000B5F5E"/>
      </bottom>
    </border>
    <border>
      <left/>
      <right style="thin">
        <color rgb="000B5F5E"/>
      </right>
      <top style="thin">
        <color rgb="000B5F5E"/>
      </top>
      <bottom style="thin">
        <color rgb="000B5F5E"/>
      </bottom>
    </border>
    <border>
      <left style="thin">
        <color rgb="00EDE9F5"/>
      </left>
      <right style="thin">
        <color rgb="00EDE9F5"/>
      </right>
      <top style="thin">
        <color rgb="00EDE9F5"/>
      </top>
      <bottom style="thin">
        <color rgb="00EDE9F5"/>
      </bottom>
    </border>
    <border>
      <left style="thin">
        <color rgb="00E6F6EE"/>
      </left>
      <right style="thin">
        <color rgb="00E6F6EE"/>
      </right>
      <top style="thin">
        <color rgb="00E6F6EE"/>
      </top>
      <bottom style="thin">
        <color rgb="00E6F6EE"/>
      </bottom>
    </border>
    <border>
      <left style="thin">
        <color rgb="00FDF3E2"/>
      </left>
      <right style="thin">
        <color rgb="00FDF3E2"/>
      </right>
      <top style="thin">
        <color rgb="00FDF3E2"/>
      </top>
      <bottom style="thin">
        <color rgb="00FDF3E2"/>
      </bottom>
    </border>
    <border>
      <left style="thin">
        <color rgb="00FBEAE8"/>
      </left>
      <right style="thin">
        <color rgb="00FBEAE8"/>
      </right>
      <top style="thin">
        <color rgb="00FBEAE8"/>
      </top>
      <bottom style="thin">
        <color rgb="00FBEAE8"/>
      </bottom>
    </border>
  </borders>
  <cellStyleXfs count="1">
    <xf numFmtId="0" fontId="1" fillId="0" borderId="0"/>
  </cellStyleXfs>
  <cellXfs count="12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2" borderId="4" applyAlignment="1" applyProtection="1" pivotButton="0" quotePrefix="0" xfId="0">
      <alignment horizontal="left" vertical="center" wrapText="1"/>
      <protection locked="0" hidden="0"/>
    </xf>
    <xf numFmtId="0" fontId="6" fillId="2" borderId="5" applyAlignment="1" applyProtection="1" pivotButton="0" quotePrefix="0" xfId="0">
      <alignment horizontal="right" vertical="center"/>
      <protection locked="0" hidden="0"/>
    </xf>
    <xf numFmtId="0" fontId="6" fillId="2" borderId="6" applyAlignment="1" applyProtection="1" pivotButton="0" quotePrefix="0" xfId="0">
      <alignment horizontal="right" vertical="center"/>
      <protection locked="0" hidden="0"/>
    </xf>
    <xf numFmtId="164" fontId="6" fillId="2" borderId="7" applyAlignment="1" applyProtection="1" pivotButton="0" quotePrefix="0" xfId="0">
      <alignment horizontal="right" vertical="center"/>
      <protection locked="0" hidden="0"/>
    </xf>
    <xf numFmtId="165" fontId="6" fillId="2" borderId="7" applyAlignment="1" applyProtection="1" pivotButton="0" quotePrefix="0" xfId="0">
      <alignment horizontal="right" vertical="center"/>
      <protection locked="0" hidden="0"/>
    </xf>
    <xf numFmtId="0" fontId="7" fillId="2" borderId="0" applyAlignment="1" pivotButton="0" quotePrefix="0" xfId="0">
      <alignment horizontal="left" vertical="center" wrapText="1"/>
    </xf>
    <xf numFmtId="164" fontId="8" fillId="6" borderId="8" applyAlignment="1" pivotButton="0" quotePrefix="0" xfId="0">
      <alignment horizontal="right" vertical="center"/>
    </xf>
    <xf numFmtId="0" fontId="8" fillId="6" borderId="8" applyAlignment="1" pivotButton="0" quotePrefix="0" xfId="0">
      <alignment horizontal="right" vertical="center"/>
    </xf>
    <xf numFmtId="166" fontId="6" fillId="2" borderId="7" applyAlignment="1" applyProtection="1" pivotButton="0" quotePrefix="0" xfId="0">
      <alignment horizontal="right" vertical="center"/>
      <protection locked="0" hidden="0"/>
    </xf>
    <xf numFmtId="167" fontId="6" fillId="2" borderId="7" applyAlignment="1" applyProtection="1" pivotButton="0" quotePrefix="0" xfId="0">
      <alignment horizontal="right" vertical="center"/>
      <protection locked="0" hidden="0"/>
    </xf>
    <xf numFmtId="0" fontId="8" fillId="6" borderId="1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9" fillId="6" borderId="9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12" fillId="4" borderId="15" applyAlignment="1" pivotButton="0" quotePrefix="0" xfId="0">
      <alignment horizontal="left" vertical="center" wrapText="1"/>
    </xf>
    <xf numFmtId="0" fontId="12" fillId="4" borderId="16" applyAlignment="1" pivotButton="0" quotePrefix="0" xfId="0">
      <alignment horizontal="left" vertical="center" wrapText="1"/>
    </xf>
    <xf numFmtId="168" fontId="10" fillId="6" borderId="11" applyAlignment="1" pivotButton="0" quotePrefix="0" xfId="0">
      <alignment horizontal="center" vertical="center"/>
    </xf>
    <xf numFmtId="168" fontId="10" fillId="6" borderId="12" applyAlignment="1" pivotButton="0" quotePrefix="0" xfId="0">
      <alignment horizontal="center" vertical="center"/>
    </xf>
    <xf numFmtId="168" fontId="13" fillId="4" borderId="17" applyAlignment="1" pivotButton="0" quotePrefix="0" xfId="0">
      <alignment horizontal="center" vertical="center"/>
    </xf>
    <xf numFmtId="168" fontId="13" fillId="4" borderId="18" applyAlignment="1" pivotButton="0" quotePrefix="0" xfId="0">
      <alignment horizontal="center" vertical="center"/>
    </xf>
    <xf numFmtId="0" fontId="11" fillId="6" borderId="13" applyAlignment="1" pivotButton="0" quotePrefix="0" xfId="0">
      <alignment horizontal="center" vertical="center" wrapText="1"/>
    </xf>
    <xf numFmtId="0" fontId="11" fillId="6" borderId="14" applyAlignment="1" pivotButton="0" quotePrefix="0" xfId="0">
      <alignment horizontal="center" vertical="center" wrapText="1"/>
    </xf>
    <xf numFmtId="0" fontId="11" fillId="4" borderId="1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14" fillId="6" borderId="9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5" fillId="4" borderId="15" applyAlignment="1" pivotButton="0" quotePrefix="0" xfId="0">
      <alignment horizontal="left" vertical="center" wrapText="1"/>
    </xf>
    <xf numFmtId="0" fontId="15" fillId="4" borderId="16" applyAlignment="1" pivotButton="0" quotePrefix="0" xfId="0">
      <alignment horizontal="left" vertical="center" wrapText="1"/>
    </xf>
    <xf numFmtId="166" fontId="8" fillId="6" borderId="8" applyAlignment="1" pivotButton="0" quotePrefix="0" xfId="0">
      <alignment horizontal="right" vertical="center"/>
    </xf>
    <xf numFmtId="169" fontId="8" fillId="6" borderId="8" applyAlignment="1" pivotButton="0" quotePrefix="0" xfId="0">
      <alignment horizontal="right" vertical="center"/>
    </xf>
    <xf numFmtId="0" fontId="16" fillId="6" borderId="9" applyAlignment="1" pivotButton="0" quotePrefix="0" xfId="0">
      <alignment horizontal="left" vertical="center" wrapText="1"/>
    </xf>
    <xf numFmtId="0" fontId="16" fillId="6" borderId="21" applyAlignment="1" pivotButton="0" quotePrefix="0" xfId="0">
      <alignment horizontal="left" vertical="center" wrapText="1"/>
    </xf>
    <xf numFmtId="0" fontId="16" fillId="6" borderId="10" applyAlignment="1" pivotButton="0" quotePrefix="0" xfId="0">
      <alignment horizontal="left" vertical="center" wrapText="1"/>
    </xf>
    <xf numFmtId="0" fontId="16" fillId="2" borderId="11" applyAlignment="1" pivotButton="0" quotePrefix="0" xfId="0">
      <alignment horizontal="left" vertical="center" wrapText="1"/>
    </xf>
    <xf numFmtId="0" fontId="16" fillId="2" borderId="22" applyAlignment="1" pivotButton="0" quotePrefix="0" xfId="0">
      <alignment horizontal="left" vertical="center" wrapText="1"/>
    </xf>
    <xf numFmtId="0" fontId="16" fillId="2" borderId="12" applyAlignment="1" pivotButton="0" quotePrefix="0" xfId="0">
      <alignment horizontal="left" vertical="center" wrapText="1"/>
    </xf>
    <xf numFmtId="0" fontId="16" fillId="6" borderId="11" applyAlignment="1" pivotButton="0" quotePrefix="0" xfId="0">
      <alignment horizontal="left" vertical="center" wrapText="1"/>
    </xf>
    <xf numFmtId="0" fontId="16" fillId="6" borderId="22" applyAlignment="1" pivotButton="0" quotePrefix="0" xfId="0">
      <alignment horizontal="left" vertical="center" wrapText="1"/>
    </xf>
    <xf numFmtId="0" fontId="16" fillId="6" borderId="12" applyAlignment="1" pivotButton="0" quotePrefix="0" xfId="0">
      <alignment horizontal="left" vertical="center" wrapText="1"/>
    </xf>
    <xf numFmtId="0" fontId="17" fillId="7" borderId="13" applyAlignment="1" pivotButton="0" quotePrefix="0" xfId="0">
      <alignment horizontal="left" vertical="center" wrapText="1"/>
    </xf>
    <xf numFmtId="0" fontId="17" fillId="7" borderId="23" applyAlignment="1" pivotButton="0" quotePrefix="0" xfId="0">
      <alignment horizontal="left" vertical="center" wrapText="1"/>
    </xf>
    <xf numFmtId="0" fontId="17" fillId="7" borderId="14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8" fillId="6" borderId="3" applyAlignment="1" pivotButton="0" quotePrefix="0" xfId="0">
      <alignment horizontal="center" vertical="center" wrapText="1"/>
    </xf>
    <xf numFmtId="0" fontId="18" fillId="6" borderId="8" applyAlignment="1" pivotButton="0" quotePrefix="0" xfId="0">
      <alignment horizontal="center" vertical="center" wrapText="1"/>
    </xf>
    <xf numFmtId="164" fontId="18" fillId="6" borderId="8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9" fillId="3" borderId="24" applyAlignment="1" pivotButton="0" quotePrefix="0" xfId="0">
      <alignment horizontal="center" vertical="center" wrapText="1"/>
    </xf>
    <xf numFmtId="0" fontId="19" fillId="3" borderId="25" applyAlignment="1" pivotButton="0" quotePrefix="0" xfId="0">
      <alignment horizontal="center" vertical="center" wrapText="1"/>
    </xf>
    <xf numFmtId="0" fontId="19" fillId="3" borderId="26" applyAlignment="1" pivotButton="0" quotePrefix="0" xfId="0">
      <alignment horizontal="center" vertical="center" wrapText="1"/>
    </xf>
    <xf numFmtId="1" fontId="20" fillId="2" borderId="27" applyAlignment="1" pivotButton="0" quotePrefix="0" xfId="0">
      <alignment horizontal="center" vertical="center" wrapText="1"/>
    </xf>
    <xf numFmtId="164" fontId="21" fillId="2" borderId="28" applyAlignment="1" applyProtection="1" pivotButton="0" quotePrefix="0" xfId="0">
      <alignment horizontal="center" vertical="center" wrapText="1"/>
      <protection locked="0" hidden="0"/>
    </xf>
    <xf numFmtId="0" fontId="21" fillId="2" borderId="28" applyAlignment="1" applyProtection="1" pivotButton="0" quotePrefix="0" xfId="0">
      <alignment horizontal="left" vertical="center" wrapText="1"/>
      <protection locked="0" hidden="0"/>
    </xf>
    <xf numFmtId="170" fontId="21" fillId="2" borderId="28" applyAlignment="1" applyProtection="1" pivotButton="0" quotePrefix="0" xfId="0">
      <alignment horizontal="center" vertical="center" wrapText="1"/>
      <protection locked="0" hidden="0"/>
    </xf>
    <xf numFmtId="166" fontId="22" fillId="2" borderId="28" applyAlignment="1" applyProtection="1" pivotButton="0" quotePrefix="0" xfId="0">
      <alignment horizontal="right" vertical="center"/>
      <protection locked="0" hidden="0"/>
    </xf>
    <xf numFmtId="0" fontId="23" fillId="2" borderId="28" applyAlignment="1" pivotButton="0" quotePrefix="0" xfId="0">
      <alignment horizontal="center" vertical="center" wrapText="1"/>
    </xf>
    <xf numFmtId="170" fontId="24" fillId="2" borderId="28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right" vertical="center"/>
    </xf>
    <xf numFmtId="166" fontId="25" fillId="5" borderId="2" applyAlignment="1" pivotButton="0" quotePrefix="0" xfId="0">
      <alignment horizontal="right" vertical="center"/>
    </xf>
    <xf numFmtId="0" fontId="20" fillId="5" borderId="2" applyAlignment="1" pivotButton="0" quotePrefix="0" xfId="0">
      <alignment horizontal="center" vertical="center" wrapText="1"/>
    </xf>
    <xf numFmtId="0" fontId="20" fillId="5" borderId="3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6" fillId="4" borderId="4" applyAlignment="1" pivotButton="0" quotePrefix="0" xfId="0">
      <alignment horizontal="center" vertical="center" wrapText="1"/>
    </xf>
    <xf numFmtId="0" fontId="26" fillId="4" borderId="6" applyAlignment="1" pivotButton="0" quotePrefix="0" xfId="0">
      <alignment horizontal="center" vertical="center" wrapText="1"/>
    </xf>
    <xf numFmtId="0" fontId="26" fillId="4" borderId="7" applyAlignment="1" pivotButton="0" quotePrefix="0" xfId="0">
      <alignment horizontal="center" vertical="center" wrapText="1"/>
    </xf>
    <xf numFmtId="170" fontId="27" fillId="2" borderId="27" applyAlignment="1" pivotButton="0" quotePrefix="0" xfId="0">
      <alignment horizontal="left" vertical="center" wrapText="1"/>
    </xf>
    <xf numFmtId="164" fontId="20" fillId="2" borderId="28" applyAlignment="1" pivotButton="0" quotePrefix="0" xfId="0">
      <alignment horizontal="center" vertical="center" wrapText="1"/>
    </xf>
    <xf numFmtId="166" fontId="21" fillId="2" borderId="28" applyAlignment="1" pivotButton="0" quotePrefix="0" xfId="0">
      <alignment horizontal="right" vertical="center"/>
    </xf>
    <xf numFmtId="166" fontId="22" fillId="2" borderId="28" applyAlignment="1" pivotButton="0" quotePrefix="0" xfId="0">
      <alignment horizontal="right" vertical="center"/>
    </xf>
    <xf numFmtId="0" fontId="28" fillId="2" borderId="28" applyAlignment="1" pivotButton="0" quotePrefix="0" xfId="0">
      <alignment horizontal="center" vertical="center" wrapText="1"/>
    </xf>
    <xf numFmtId="0" fontId="18" fillId="5" borderId="3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19" fillId="8" borderId="29" applyAlignment="1" pivotButton="0" quotePrefix="0" xfId="0">
      <alignment horizontal="center" vertical="center" wrapText="1"/>
    </xf>
    <xf numFmtId="0" fontId="19" fillId="8" borderId="30" applyAlignment="1" pivotButton="0" quotePrefix="0" xfId="0">
      <alignment horizontal="center" vertical="center" wrapText="1"/>
    </xf>
    <xf numFmtId="0" fontId="19" fillId="8" borderId="31" applyAlignment="1" pivotButton="0" quotePrefix="0" xfId="0">
      <alignment horizontal="center" vertical="center" wrapText="1"/>
    </xf>
    <xf numFmtId="166" fontId="29" fillId="2" borderId="28" applyAlignment="1" pivotButton="0" quotePrefix="0" xfId="0">
      <alignment horizontal="right" vertical="center"/>
    </xf>
    <xf numFmtId="166" fontId="30" fillId="2" borderId="28" applyAlignment="1" pivotButton="0" quotePrefix="0" xfId="0">
      <alignment horizontal="right" vertical="center"/>
    </xf>
    <xf numFmtId="0" fontId="31" fillId="4" borderId="4" applyAlignment="1" pivotButton="0" quotePrefix="0" xfId="0">
      <alignment horizontal="left" vertical="center" wrapText="1"/>
    </xf>
    <xf numFmtId="166" fontId="31" fillId="4" borderId="5" applyAlignment="1" pivotButton="0" quotePrefix="0" xfId="0">
      <alignment horizontal="right" vertical="center"/>
    </xf>
    <xf numFmtId="166" fontId="31" fillId="4" borderId="6" applyAlignment="1" pivotButton="0" quotePrefix="0" xfId="0">
      <alignment horizontal="right" vertical="center"/>
    </xf>
    <xf numFmtId="0" fontId="19" fillId="3" borderId="0" applyAlignment="1" pivotButton="0" quotePrefix="0" xfId="0">
      <alignment horizontal="center" vertical="center" wrapText="1"/>
    </xf>
    <xf numFmtId="1" fontId="27" fillId="2" borderId="27" applyAlignment="1" pivotButton="0" quotePrefix="0" xfId="0">
      <alignment horizontal="center" vertical="center" wrapText="1"/>
    </xf>
    <xf numFmtId="166" fontId="27" fillId="2" borderId="28" applyAlignment="1" pivotButton="0" quotePrefix="0" xfId="0">
      <alignment horizontal="right" vertical="center"/>
    </xf>
    <xf numFmtId="0" fontId="19" fillId="8" borderId="0" applyAlignment="1" pivotButton="0" quotePrefix="0" xfId="0">
      <alignment horizontal="center" vertical="center" wrapText="1"/>
    </xf>
    <xf numFmtId="0" fontId="21" fillId="2" borderId="27" applyAlignment="1" pivotButton="0" quotePrefix="0" xfId="0">
      <alignment horizontal="left" vertical="center" wrapText="1"/>
    </xf>
    <xf numFmtId="171" fontId="0" fillId="2" borderId="28" applyAlignment="1" pivotButton="0" quotePrefix="0" xfId="0">
      <alignment horizontal="center" vertical="center" wrapText="1"/>
    </xf>
    <xf numFmtId="169" fontId="20" fillId="2" borderId="28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171" fontId="6" fillId="2" borderId="7" applyAlignment="1" applyProtection="1" pivotButton="0" quotePrefix="0" xfId="0">
      <alignment horizontal="right" vertical="center"/>
      <protection locked="0" hidden="0"/>
    </xf>
    <xf numFmtId="0" fontId="32" fillId="2" borderId="0" applyAlignment="1" pivotButton="0" quotePrefix="0" xfId="0">
      <alignment horizontal="left" vertical="center" wrapText="1"/>
    </xf>
    <xf numFmtId="172" fontId="6" fillId="2" borderId="7" applyAlignment="1" applyProtection="1" pivotButton="0" quotePrefix="0" xfId="0">
      <alignment horizontal="right" vertical="center"/>
      <protection locked="0" hidden="0"/>
    </xf>
    <xf numFmtId="0" fontId="27" fillId="6" borderId="1" applyAlignment="1" applyProtection="1" pivotButton="0" quotePrefix="0" xfId="0">
      <alignment horizontal="left" vertical="center" wrapText="1"/>
      <protection locked="0" hidden="0"/>
    </xf>
    <xf numFmtId="0" fontId="27" fillId="6" borderId="3" applyAlignment="1" applyProtection="1" pivotButton="0" quotePrefix="0" xfId="0">
      <alignment horizontal="left" vertical="center" wrapText="1"/>
      <protection locked="0" hidden="0"/>
    </xf>
    <xf numFmtId="0" fontId="33" fillId="4" borderId="7" applyAlignment="1" applyProtection="1" pivotButton="0" quotePrefix="0" xfId="0">
      <alignment horizontal="left" vertical="center" wrapText="1"/>
      <protection locked="0" hidden="0"/>
    </xf>
    <xf numFmtId="0" fontId="5" fillId="2" borderId="32" applyAlignment="1" pivotButton="0" quotePrefix="0" xfId="0">
      <alignment horizontal="left" vertical="center" wrapText="1"/>
    </xf>
    <xf numFmtId="1" fontId="5" fillId="2" borderId="32" applyAlignment="1" pivotButton="0" quotePrefix="0" xfId="0">
      <alignment horizontal="center" vertical="center" wrapText="1"/>
    </xf>
    <xf numFmtId="0" fontId="28" fillId="2" borderId="7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 wrapText="1"/>
    </xf>
    <xf numFmtId="0" fontId="28" fillId="6" borderId="8" applyAlignment="1" pivotButton="0" quotePrefix="0" xfId="0">
      <alignment horizontal="left" vertical="center" wrapText="1"/>
    </xf>
    <xf numFmtId="0" fontId="28" fillId="12" borderId="33" applyAlignment="1" pivotButton="0" quotePrefix="0" xfId="0">
      <alignment horizontal="left" vertical="center" wrapText="1"/>
    </xf>
    <xf numFmtId="0" fontId="28" fillId="7" borderId="34" applyAlignment="1" pivotButton="0" quotePrefix="0" xfId="0">
      <alignment horizontal="left" vertical="center" wrapText="1"/>
    </xf>
    <xf numFmtId="0" fontId="28" fillId="13" borderId="35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left" vertical="center" wrapText="1"/>
    </xf>
    <xf numFmtId="0" fontId="27" fillId="6" borderId="1" applyAlignment="1" pivotButton="0" quotePrefix="0" xfId="0">
      <alignment horizontal="left" vertical="center" wrapText="1"/>
    </xf>
    <xf numFmtId="0" fontId="27" fillId="6" borderId="3" applyAlignment="1" pivotButton="0" quotePrefix="0" xfId="0">
      <alignment horizontal="left" vertical="center" wrapText="1"/>
    </xf>
    <xf numFmtId="0" fontId="34" fillId="4" borderId="15" applyAlignment="1" pivotButton="0" quotePrefix="0" xfId="0">
      <alignment horizontal="left" vertical="top" wrapText="1"/>
    </xf>
    <xf numFmtId="0" fontId="34" fillId="4" borderId="16" applyAlignment="1" pivotButton="0" quotePrefix="0" xfId="0">
      <alignment horizontal="left" vertical="top" wrapText="1"/>
    </xf>
    <xf numFmtId="0" fontId="34" fillId="4" borderId="17" applyAlignment="1" pivotButton="0" quotePrefix="0" xfId="0">
      <alignment horizontal="left" vertical="top" wrapText="1"/>
    </xf>
    <xf numFmtId="0" fontId="34" fillId="4" borderId="18" applyAlignment="1" pivotButton="0" quotePrefix="0" xfId="0">
      <alignment horizontal="left" vertical="top" wrapText="1"/>
    </xf>
    <xf numFmtId="0" fontId="34" fillId="4" borderId="19" applyAlignment="1" pivotButton="0" quotePrefix="0" xfId="0">
      <alignment horizontal="left" vertical="top" wrapText="1"/>
    </xf>
    <xf numFmtId="0" fontId="34" fillId="4" borderId="20" applyAlignment="1" pivotButton="0" quotePrefix="0" xfId="0">
      <alignment horizontal="left" vertical="top" wrapText="1"/>
    </xf>
  </cellXfs>
  <cellStyles count="1">
    <cellStyle name="Normal" xfId="0" builtinId="0" hidden="0"/>
  </cellStyles>
  <dxfs count="20">
    <dxf>
      <fill>
        <patternFill patternType="solid">
          <fgColor rgb="00FDF3E2"/>
        </patternFill>
      </fill>
    </dxf>
    <dxf>
      <font>
        <name val="Arial"/>
        <b val="1"/>
        <color rgb="00B3382F"/>
        <sz val="11.5"/>
      </font>
      <fill>
        <patternFill patternType="solid">
          <fgColor rgb="00FBEAE8"/>
        </patternFill>
      </fill>
    </dxf>
    <dxf>
      <font>
        <name val="Arial"/>
        <b val="1"/>
        <color rgb="001F7A55"/>
        <sz val="11.5"/>
      </font>
      <fill>
        <patternFill patternType="solid">
          <fgColor rgb="00E6F6EE"/>
        </patternFill>
      </fill>
    </dxf>
    <dxf>
      <font>
        <name val="Arial"/>
        <b val="1"/>
        <color rgb="001F7A55"/>
        <sz val="22"/>
      </font>
    </dxf>
    <dxf>
      <font>
        <name val="Arial"/>
        <b val="1"/>
        <color rgb="004B2E73"/>
        <sz val="10.5"/>
      </font>
      <fill>
        <patternFill patternType="solid">
          <fgColor rgb="00E9E0F7"/>
        </patternFill>
      </fill>
    </dxf>
    <dxf>
      <font>
        <name val="Arial"/>
        <b val="1"/>
        <color rgb="000B5F5E"/>
        <sz val="10.5"/>
      </font>
      <fill>
        <patternFill patternType="solid">
          <fgColor rgb="00E4F7F6"/>
        </patternFill>
      </fill>
    </dxf>
    <dxf>
      <font>
        <name val="Arial"/>
        <b val="1"/>
        <color rgb="001C5C87"/>
        <sz val="10.5"/>
      </font>
      <fill>
        <patternFill patternType="solid">
          <fgColor rgb="00EAF4FB"/>
        </patternFill>
      </fill>
    </dxf>
    <dxf>
      <font>
        <name val="Arial"/>
        <b val="1"/>
        <color rgb="00C97C1B"/>
        <sz val="10.5"/>
      </font>
      <fill>
        <patternFill patternType="solid">
          <fgColor rgb="00FDF3E2"/>
        </patternFill>
      </fill>
    </dxf>
    <dxf>
      <font>
        <name val="Arial"/>
        <b val="1"/>
        <color rgb="007A7590"/>
        <sz val="10.5"/>
      </font>
      <fill>
        <patternFill patternType="solid">
          <fgColor rgb="00F2F1F6"/>
        </patternFill>
      </fill>
    </dxf>
    <dxf>
      <font>
        <name val="Arial"/>
        <b val="1"/>
        <color rgb="00B3382F"/>
        <sz val="9.5"/>
      </font>
      <fill>
        <patternFill patternType="solid">
          <fgColor rgb="00FBEAE8"/>
        </patternFill>
      </fill>
    </dxf>
    <dxf>
      <font>
        <name val="Arial"/>
        <b val="1"/>
        <color rgb="00C97C1B"/>
        <sz val="9.5"/>
      </font>
      <fill>
        <patternFill patternType="solid">
          <fgColor rgb="00FDF3E2"/>
        </patternFill>
      </fill>
    </dxf>
    <dxf>
      <font>
        <name val="Arial"/>
        <color rgb="001F7A55"/>
        <sz val="9.5"/>
      </font>
    </dxf>
    <dxf>
      <fill>
        <patternFill patternType="solid">
          <fgColor rgb="00FAF8FE"/>
        </patternFill>
      </fill>
    </dxf>
    <dxf>
      <font>
        <name val="Arial"/>
        <b val="1"/>
        <color rgb="00B3382F"/>
        <sz val="10.5"/>
      </font>
      <fill>
        <patternFill patternType="solid">
          <fgColor rgb="00FBEAE8"/>
        </patternFill>
      </fill>
    </dxf>
    <dxf>
      <font>
        <name val="Arial"/>
        <b val="1"/>
        <color rgb="000B5F5E"/>
        <sz val="10.5"/>
      </font>
    </dxf>
    <dxf>
      <font>
        <name val="Arial"/>
        <b val="1"/>
        <color rgb="00C97C1B"/>
        <sz val="10"/>
      </font>
      <fill>
        <patternFill patternType="solid">
          <fgColor rgb="00FDF3E2"/>
        </patternFill>
      </fill>
    </dxf>
    <dxf>
      <font>
        <name val="Arial"/>
        <b val="1"/>
        <color rgb="001F7A55"/>
        <sz val="10"/>
      </font>
      <fill>
        <patternFill patternType="solid">
          <fgColor rgb="00E6F6EE"/>
        </patternFill>
      </fill>
    </dxf>
    <dxf>
      <font>
        <name val="Arial"/>
        <b val="1"/>
        <color rgb="00B3382F"/>
        <sz val="10"/>
      </font>
      <fill>
        <patternFill patternType="solid">
          <fgColor rgb="00FBEAE8"/>
        </patternFill>
      </fill>
    </dxf>
    <dxf>
      <font>
        <name val="Arial"/>
        <b val="1"/>
        <color rgb="006A4C93"/>
        <sz val="10"/>
      </font>
      <fill>
        <patternFill patternType="solid">
          <fgColor rgb="00F3EEFB"/>
        </patternFill>
      </fill>
    </dxf>
    <dxf>
      <fill>
        <patternFill patternType="solid">
          <fgColor rgb="00E4F7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E40"/>
  <sheetViews>
    <sheetView showGridLines="0" zoomScale="100" workbookViewId="0">
      <selection activeCell="A1" sqref="A1"/>
    </sheetView>
  </sheetViews>
  <sheetFormatPr baseColWidth="8" defaultRowHeight="20"/>
  <cols>
    <col width="23" customWidth="1" min="1" max="1"/>
    <col width="17.5" customWidth="1" min="2" max="2"/>
    <col width="2.2" customWidth="1" min="3" max="3"/>
    <col width="23" customWidth="1" min="4" max="4"/>
    <col width="17.5" customWidth="1" min="5" max="5"/>
  </cols>
  <sheetData>
    <row r="1" ht="44" customHeight="1">
      <c r="A1" s="1" t="inlineStr">
        <is>
          <t>ЖУРНАЛ АРЕНДНЫХ ПЛАТЕЖЕЙ</t>
        </is>
      </c>
      <c r="B1" s="1" t="n"/>
      <c r="C1" s="1" t="n"/>
      <c r="D1" s="1" t="n"/>
      <c r="E1" s="1" t="n"/>
    </row>
    <row r="2" ht="24" customHeight="1">
      <c r="A2" s="2">
        <f>IF(B5="","Заполните карточку договора ниже  ·  все итоги считаются автоматически",B5&amp;"   •   "&amp;IF(B6="","наниматель не указан",B6))</f>
        <v/>
      </c>
      <c r="B2" s="2" t="n"/>
      <c r="C2" s="2" t="n"/>
      <c r="D2" s="2" t="n"/>
      <c r="E2" s="2" t="n"/>
    </row>
    <row r="3" ht="8" customHeight="1">
      <c r="A3" s="3" t="n"/>
      <c r="B3" s="3" t="n"/>
      <c r="C3" s="3" t="n"/>
      <c r="D3" s="3" t="n"/>
      <c r="E3" s="3" t="n"/>
    </row>
    <row r="4" ht="24" customHeight="1">
      <c r="A4" s="4" t="inlineStr">
        <is>
          <t xml:space="preserve">  КАРТОЧКА ДОГОВОРА</t>
        </is>
      </c>
      <c r="B4" s="5" t="n"/>
      <c r="C4" s="5" t="n"/>
      <c r="D4" s="5" t="n"/>
      <c r="E4" s="6" t="n"/>
    </row>
    <row r="5" ht="26" customHeight="1">
      <c r="A5" s="7" t="inlineStr">
        <is>
          <t>Адрес</t>
        </is>
      </c>
      <c r="B5" s="8" t="n"/>
      <c r="C5" s="9" t="n"/>
      <c r="D5" s="9" t="n"/>
      <c r="E5" s="10" t="n"/>
    </row>
    <row r="6" ht="26" customHeight="1">
      <c r="A6" s="7" t="inlineStr">
        <is>
          <t>Наниматель</t>
        </is>
      </c>
      <c r="B6" s="8" t="n"/>
      <c r="C6" s="9" t="n"/>
      <c r="D6" s="9" t="n"/>
      <c r="E6" s="10" t="n"/>
    </row>
    <row r="7" ht="26" customHeight="1">
      <c r="A7" s="7" t="inlineStr">
        <is>
          <t>Дата договора</t>
        </is>
      </c>
      <c r="B7" s="11" t="n"/>
      <c r="C7" s="3" t="n"/>
      <c r="D7" s="7" t="inlineStr">
        <is>
          <t>Срок (мес.)</t>
        </is>
      </c>
      <c r="E7" s="12" t="n"/>
    </row>
    <row r="8" ht="26" customHeight="1">
      <c r="A8" s="13" t="inlineStr">
        <is>
          <t>🤖 Дата окончания</t>
        </is>
      </c>
      <c r="B8" s="14">
        <f>IF(OR($B$7="",$E$7=""),"",EDATE($B$7,$E$7)-1)</f>
        <v/>
      </c>
      <c r="C8" s="3" t="n"/>
      <c r="D8" s="13" t="inlineStr">
        <is>
          <t>🤖 Осталось дней</t>
        </is>
      </c>
      <c r="E8" s="15">
        <f>IF($B$8="","",IF($B$8&lt;TODAY(),"договор истёк",MAX(0,$B$8-TODAY())&amp;" дн."))</f>
        <v/>
      </c>
    </row>
    <row r="9" ht="26" customHeight="1">
      <c r="A9" s="7" t="inlineStr">
        <is>
          <t>Размер аренды</t>
        </is>
      </c>
      <c r="B9" s="16" t="n"/>
      <c r="C9" s="3" t="n"/>
      <c r="D9" s="7" t="inlineStr">
        <is>
          <t>Размер залога</t>
        </is>
      </c>
      <c r="E9" s="16" t="n"/>
    </row>
    <row r="10" ht="26" customHeight="1">
      <c r="A10" s="7" t="inlineStr">
        <is>
          <t>День платежа</t>
        </is>
      </c>
      <c r="B10" s="17" t="n"/>
      <c r="C10" s="3" t="n"/>
      <c r="D10" s="13" t="inlineStr">
        <is>
          <t>🤖 Следующий платеж</t>
        </is>
      </c>
      <c r="E10" s="14">
        <f>IF(COUNTIF(История!$F$6:$F$41,"&gt;0")=0,"нет долгов",_xlfn.MINIFS(История!$B$6:$B$41,История!$F$6:$F$41,"&gt;0"))</f>
        <v/>
      </c>
    </row>
    <row r="11" ht="26" customHeight="1">
      <c r="A11" s="13" t="inlineStr">
        <is>
          <t>🤖 Статус</t>
        </is>
      </c>
      <c r="B11" s="18">
        <f>IF($B$7="","Договор не заполнен — начните с карточки выше",IF(SUMIF(История!$F$6:$F$41,"&gt;0")&gt;0,"⚠ Задолженность: "&amp;TEXT(SUMIF(История!$F$6:$F$41,"&gt;0"),"#,##0")&amp;" ₽","✔ Задолженности нет — все платежи в срок"))</f>
        <v/>
      </c>
      <c r="C11" s="19" t="n"/>
      <c r="D11" s="19" t="n"/>
      <c r="E11" s="20" t="n"/>
    </row>
    <row r="12" ht="12" customHeight="1">
      <c r="A12" s="3" t="n"/>
      <c r="B12" s="3" t="n"/>
      <c r="C12" s="3" t="n"/>
      <c r="D12" s="3" t="n"/>
      <c r="E12" s="3" t="n"/>
    </row>
    <row r="13" ht="24" customHeight="1">
      <c r="A13" s="4" t="inlineStr">
        <is>
          <t xml:space="preserve">  ФИНАНСЫ · ИТОГИ ПО ПОЗИЦИЯМ</t>
        </is>
      </c>
      <c r="B13" s="5" t="n"/>
      <c r="C13" s="5" t="n"/>
      <c r="D13" s="5" t="n"/>
      <c r="E13" s="6" t="n"/>
    </row>
    <row r="14" ht="6" customHeight="1">
      <c r="A14" s="3" t="n"/>
      <c r="B14" s="3" t="n"/>
      <c r="C14" s="3" t="n"/>
      <c r="D14" s="3" t="n"/>
      <c r="E14" s="3" t="n"/>
    </row>
    <row r="15" ht="20" customHeight="1">
      <c r="A15" s="21" t="inlineStr">
        <is>
          <t>🏠  ОПЛАЧЕНО ЗА АРЕНДУ</t>
        </is>
      </c>
      <c r="B15" s="22" t="n"/>
      <c r="C15" s="3" t="n"/>
      <c r="D15" s="23" t="inlineStr">
        <is>
          <t>🧾  ОПЛАЧЕНО НАЛОГОВ</t>
        </is>
      </c>
      <c r="E15" s="24" t="n"/>
    </row>
    <row r="16" ht="42" customHeight="1">
      <c r="A16" s="25">
        <f>SUMIFS(J_SUM,J_CAT,"Аренда")</f>
        <v/>
      </c>
      <c r="B16" s="26" t="n"/>
      <c r="C16" s="3" t="n"/>
      <c r="D16" s="27">
        <f>SUMIFS(J_SUM,J_CAT,"Налог")</f>
        <v/>
      </c>
      <c r="E16" s="28" t="n"/>
    </row>
    <row r="17" ht="20" customHeight="1">
      <c r="A17" s="29">
        <f>"Платежей: "&amp;COUNTIFS(J_CAT,"Аренда")&amp;"   •   всего по договору: "&amp;TEXT(IFERROR($B$9*$E$7,0),"#,##0")&amp;" ₽"</f>
        <v/>
      </c>
      <c r="B17" s="30" t="n"/>
      <c r="C17" s="3" t="n"/>
      <c r="D17" s="31">
        <f>"Платежей: "&amp;COUNTIFS(J_CAT,"Налог")&amp;"   •   расчёт от аренды: "&amp;TEXT(SUMIFS(J_SUM,J_CAT,"Аренда")*TAX_RATE,"#,##0")&amp;" ₽"</f>
        <v/>
      </c>
      <c r="E17" s="32" t="n"/>
    </row>
    <row r="18" ht="8" customHeight="1">
      <c r="A18" s="3" t="n"/>
      <c r="B18" s="3" t="n"/>
      <c r="C18" s="3" t="n"/>
      <c r="D18" s="3" t="n"/>
      <c r="E18" s="3" t="n"/>
    </row>
    <row r="19" ht="20" customHeight="1">
      <c r="A19" s="33" t="inlineStr">
        <is>
          <t>💡  ОПЛАЧЕНО ЗА КОММУНАЛЬНЫЕ УСЛУГИ</t>
        </is>
      </c>
      <c r="B19" s="34" t="n"/>
      <c r="C19" s="3" t="n"/>
      <c r="D19" s="35" t="inlineStr">
        <is>
          <t>🔐  ОПЛАТА ЗАЛОГА</t>
        </is>
      </c>
      <c r="E19" s="36" t="n"/>
    </row>
    <row r="20" ht="42" customHeight="1">
      <c r="A20" s="25">
        <f>SUMIFS(J_SUM,J_CAT,"Коммунальные услуги")</f>
        <v/>
      </c>
      <c r="B20" s="26" t="n"/>
      <c r="C20" s="3" t="n"/>
      <c r="D20" s="27">
        <f>SUMIFS(J_SUM,J_CAT,"Залог")</f>
        <v/>
      </c>
      <c r="E20" s="28" t="n"/>
    </row>
    <row r="21" ht="20" customHeight="1">
      <c r="A21" s="29">
        <f>"Платежей: "&amp;COUNTIFS(J_CAT,"Коммунальные услуги")&amp;"   •   в среднем: "&amp;TEXT(IFERROR(AVERAGEIFS(J_SUM,J_CAT,"Коммунальные услуги"),0),"#,##0")&amp;" ₽"</f>
        <v/>
      </c>
      <c r="B21" s="30" t="n"/>
      <c r="C21" s="3" t="n"/>
      <c r="D21" s="31">
        <f>"По договору: "&amp;TEXT($E$9,"#,##0")&amp;" ₽   •   "&amp;IF(SUMIFS(J_SUM,J_CAT,"Залог")&gt;=$E$9,"✔ внесён полностью","осталось "&amp;TEXT($E$9-SUMIFS(J_SUM,J_CAT,"Залог"),"#,##0")&amp;" ₽")</f>
        <v/>
      </c>
      <c r="E21" s="32" t="n"/>
    </row>
    <row r="22" ht="12" customHeight="1">
      <c r="A22" s="3" t="n"/>
      <c r="B22" s="3" t="n"/>
      <c r="C22" s="3" t="n"/>
      <c r="D22" s="3" t="n"/>
      <c r="E22" s="3" t="n"/>
    </row>
    <row r="23" ht="24" customHeight="1">
      <c r="A23" s="4" t="inlineStr">
        <is>
          <t xml:space="preserve">  СВОДКА</t>
        </is>
      </c>
      <c r="B23" s="5" t="n"/>
      <c r="C23" s="5" t="n"/>
      <c r="D23" s="5" t="n"/>
      <c r="E23" s="6" t="n"/>
    </row>
    <row r="24" ht="24" customHeight="1">
      <c r="A24" s="7" t="inlineStr">
        <is>
          <t>Итого оплачено (все позиции)</t>
        </is>
      </c>
      <c r="B24" s="37">
        <f>SUM(J_SUM)</f>
        <v/>
      </c>
      <c r="C24" s="3" t="n"/>
      <c r="D24" s="7" t="inlineStr">
        <is>
          <t>Оплачено в текущем году</t>
        </is>
      </c>
      <c r="E24" s="37">
        <f>SUMIFS(J_SUM,J_PER,"&gt;="&amp;DATE(YEAR(TODAY()),1,1),J_PER,"&lt;="&amp;DATE(YEAR(TODAY()),12,31))</f>
        <v/>
      </c>
    </row>
    <row r="25" ht="24" customHeight="1">
      <c r="A25" s="7" t="inlineStr">
        <is>
          <t>Текущий долг по аренде</t>
        </is>
      </c>
      <c r="B25" s="37">
        <f>SUMIF(История!$F$6:$F$41,"&gt;0")</f>
        <v/>
      </c>
      <c r="C25" s="3" t="n"/>
      <c r="D25" s="7" t="inlineStr">
        <is>
          <t>Записей в журнале</t>
        </is>
      </c>
      <c r="E25" s="38">
        <f>COUNT(J_SUM)</f>
        <v/>
      </c>
    </row>
    <row r="26" ht="12" customHeight="1">
      <c r="A26" s="3" t="n"/>
      <c r="B26" s="3" t="n"/>
      <c r="C26" s="3" t="n"/>
      <c r="D26" s="3" t="n"/>
      <c r="E26" s="3" t="n"/>
    </row>
    <row r="27" ht="24" customHeight="1">
      <c r="A27" s="4" t="inlineStr">
        <is>
          <t xml:space="preserve">  КАК ПОЛЬЗОВАТЬСЯ</t>
        </is>
      </c>
      <c r="B27" s="5" t="n"/>
      <c r="C27" s="5" t="n"/>
      <c r="D27" s="5" t="n"/>
      <c r="E27" s="6" t="n"/>
    </row>
    <row r="28" ht="19" customHeight="1">
      <c r="A28" s="39" t="inlineStr">
        <is>
          <t>1.  Заполните карточку договора — поля с бирюзовой рамкой (белый фон) открыты для ввода.</t>
        </is>
      </c>
      <c r="B28" s="40" t="n"/>
      <c r="C28" s="40" t="n"/>
      <c r="D28" s="40" t="n"/>
      <c r="E28" s="41" t="n"/>
    </row>
    <row r="29" ht="19" customHeight="1">
      <c r="A29" s="42" t="inlineStr">
        <is>
          <t>2.  Каждый платёж вносите на листе «Регистрация»: дата, категория, сумма — месяц подставится сам.</t>
        </is>
      </c>
      <c r="B29" s="43" t="n"/>
      <c r="C29" s="43" t="n"/>
      <c r="D29" s="43" t="n"/>
      <c r="E29" s="44" t="n"/>
    </row>
    <row r="30" ht="19" customHeight="1">
      <c r="A30" s="45" t="inlineStr">
        <is>
          <t>3.  Листы «История» и «Аналитика» и карточки итогов пересчитываются сами — их не трогаем.</t>
        </is>
      </c>
      <c r="B30" s="46" t="n"/>
      <c r="C30" s="46" t="n"/>
      <c r="D30" s="46" t="n"/>
      <c r="E30" s="47" t="n"/>
    </row>
    <row r="31" ht="19" customHeight="1">
      <c r="A31" s="42" t="inlineStr">
        <is>
          <t>4.  Сиреневые ячейки 🤖 — формулы, их заполнять не нужно.</t>
        </is>
      </c>
      <c r="B31" s="43" t="n"/>
      <c r="C31" s="43" t="n"/>
      <c r="D31" s="43" t="n"/>
      <c r="E31" s="44" t="n"/>
    </row>
    <row r="32" ht="28" customHeight="1">
      <c r="A32" s="48" t="inlineStr">
        <is>
          <t>5.  Если ввод не вставляется — вверху Excel нажмите «Разрешить редактирование» (жёлтая полоса «Защищённый просмотр») и сохраните файл на компьютер.</t>
        </is>
      </c>
      <c r="B32" s="49" t="n"/>
      <c r="C32" s="49" t="n"/>
      <c r="D32" s="49" t="n"/>
      <c r="E32" s="50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</sheetData>
  <mergeCells count="26">
    <mergeCell ref="A30:E30"/>
    <mergeCell ref="D20:E20"/>
    <mergeCell ref="A15:B15"/>
    <mergeCell ref="D19:E19"/>
    <mergeCell ref="B6:E6"/>
    <mergeCell ref="A1:E1"/>
    <mergeCell ref="B5:E5"/>
    <mergeCell ref="D21:E21"/>
    <mergeCell ref="A16:B16"/>
    <mergeCell ref="D17:E17"/>
    <mergeCell ref="A27:E27"/>
    <mergeCell ref="D16:E16"/>
    <mergeCell ref="A21:B21"/>
    <mergeCell ref="A2:E2"/>
    <mergeCell ref="B11:E11"/>
    <mergeCell ref="A23:E23"/>
    <mergeCell ref="A32:E32"/>
    <mergeCell ref="A17:B17"/>
    <mergeCell ref="A20:B20"/>
    <mergeCell ref="A29:E29"/>
    <mergeCell ref="A4:E4"/>
    <mergeCell ref="D15:E15"/>
    <mergeCell ref="A19:B19"/>
    <mergeCell ref="A28:E28"/>
    <mergeCell ref="A13:E13"/>
    <mergeCell ref="A31:E31"/>
  </mergeCells>
  <conditionalFormatting sqref="B5:E5">
    <cfRule type="expression" priority="1" dxfId="0" stopIfTrue="0">
      <formula>B5=""</formula>
    </cfRule>
  </conditionalFormatting>
  <conditionalFormatting sqref="B6:E6">
    <cfRule type="expression" priority="2" dxfId="0" stopIfTrue="0">
      <formula>B6=""</formula>
    </cfRule>
  </conditionalFormatting>
  <conditionalFormatting sqref="B7">
    <cfRule type="expression" priority="3" dxfId="0" stopIfTrue="0">
      <formula>B7=""</formula>
    </cfRule>
  </conditionalFormatting>
  <conditionalFormatting sqref="E7">
    <cfRule type="expression" priority="4" dxfId="0" stopIfTrue="0">
      <formula>E7=""</formula>
    </cfRule>
  </conditionalFormatting>
  <conditionalFormatting sqref="B9">
    <cfRule type="expression" priority="5" dxfId="0" stopIfTrue="0">
      <formula>B9=""</formula>
    </cfRule>
  </conditionalFormatting>
  <conditionalFormatting sqref="E9">
    <cfRule type="expression" priority="6" dxfId="0" stopIfTrue="0">
      <formula>E9=""</formula>
    </cfRule>
  </conditionalFormatting>
  <conditionalFormatting sqref="B10">
    <cfRule type="expression" priority="7" dxfId="0" stopIfTrue="0">
      <formula>B10=""</formula>
    </cfRule>
  </conditionalFormatting>
  <conditionalFormatting sqref="B11:E11">
    <cfRule type="expression" priority="8" dxfId="1">
      <formula>ISNUMBER(SEARCH("Задолженность",$B$11))</formula>
    </cfRule>
    <cfRule type="expression" priority="9" dxfId="2">
      <formula>ISNUMBER(SEARCH("нет",$B$11))</formula>
    </cfRule>
  </conditionalFormatting>
  <conditionalFormatting sqref="D20:E20">
    <cfRule type="expression" priority="10" dxfId="3">
      <formula>AND($E$9&gt;0,SUMIFS(J_SUM,J_CAT,"Залог")&gt;=$E$9)</formula>
    </cfRule>
  </conditionalFormatting>
  <dataValidations count="4">
    <dataValidation sqref="B10" showDropDown="0" showInputMessage="1" showErrorMessage="1" allowBlank="1" errorTitle="День платежа" error="Укажите число от 1 до 28." promptTitle="День платежа" prompt="Число месяца, до которого вносится аренда (1–28)." type="whole" errorStyle="warning" operator="between">
      <formula1>1</formula1>
      <formula2>28</formula2>
    </dataValidation>
    <dataValidation sqref="B7" showDropDown="0" showInputMessage="0" showErrorMessage="1" allowBlank="1" errorTitle="Дата" error="Введите корректную дату (ДД.ММ.ГГГГ)." type="date" errorStyle="warning" operator="greaterThan">
      <formula1>DATE(2000,1,1)</formula1>
    </dataValidation>
    <dataValidation sqref="B9 E9" showDropDown="0" showInputMessage="0" showErrorMessage="1" allowBlank="1" errorTitle="Сумма" error="Сумма не может быть отрицательной." type="decimal" errorStyle="warning" operator="greaterThanOrEqual">
      <formula1>0</formula1>
    </dataValidation>
    <dataValidation sqref="E7" showDropDown="0" showInputMessage="0" showErrorMessage="1" allowBlank="1" errorTitle="Срок" error="Срок договора: от 1 до 120 месяцев." type="whole" errorStyle="warning" operator="between">
      <formula1>1</formula1>
      <formula2>120</formula2>
    </dataValidation>
  </dataValidations>
  <printOptions horizontalCentered="1"/>
  <pageMargins left="0.3" right="0.3" top="0.4" bottom="0.4" header="0.2" footer="0.2"/>
  <pageSetup orientation="portrait" fitToHeight="0" fitToWidth="1"/>
  <headerFooter>
    <oddHeader/>
    <oddFooter>&amp;C&amp;K7A7590&amp;"Arial"&amp;8Журнал арендных платежей  •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E8F8C"/>
    <outlinePr summaryBelow="1" summaryRight="1"/>
    <pageSetUpPr fitToPage="1"/>
  </sheetPr>
  <dimension ref="A1:I308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20"/>
  <cols>
    <col width="5.5" customWidth="1" min="1" max="1"/>
    <col width="12.5" customWidth="1" min="2" max="2"/>
    <col width="17" customWidth="1" min="3" max="3"/>
    <col width="14" customWidth="1" min="4" max="4"/>
    <col width="13.5" customWidth="1" min="5" max="5"/>
    <col width="15" customWidth="1" min="6" max="6"/>
    <col width="21" customWidth="1" min="7" max="7"/>
    <col width="14" customWidth="1" min="8" max="8"/>
    <col width="14" customWidth="1" min="9" max="9"/>
  </cols>
  <sheetData>
    <row r="1" ht="44" customHeight="1">
      <c r="A1" s="51" t="inlineStr">
        <is>
          <t>РЕГИСТРАЦИЯ ПЛАТЕЖЕЙ</t>
        </is>
      </c>
      <c r="B1" s="51" t="n"/>
      <c r="C1" s="51" t="n"/>
      <c r="D1" s="51" t="n"/>
      <c r="E1" s="51" t="n"/>
      <c r="F1" s="51" t="n"/>
      <c r="G1" s="51" t="n"/>
      <c r="H1" s="51" t="n"/>
      <c r="I1" s="51" t="n"/>
    </row>
    <row r="2" ht="24" customHeight="1">
      <c r="A2" s="2" t="inlineStr">
        <is>
          <t>Одна строка — один платёж. Достаточно заполнить: Дата · Категория · Сумма — месяц подставится сам. Не вставляется значение? Нажмите «Разрешить редактирование» вверху Excel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4" customHeight="1">
      <c r="A4" s="52">
        <f>"Записей: "&amp;COUNT($E$7:$E$306)</f>
        <v/>
      </c>
      <c r="B4" s="53" t="n"/>
      <c r="C4" s="52">
        <f>"Сумма: "&amp;TEXT(SUM($E$7:$E$306),"#,##0")&amp;" ₽"</f>
        <v/>
      </c>
      <c r="D4" s="53" t="n"/>
      <c r="E4" s="54">
        <f>"Последняя запись:"</f>
        <v/>
      </c>
      <c r="F4" s="55">
        <f>IF(COUNT($B$7:$B$306)=0,"—",MAX($B$7:$B$306))</f>
        <v/>
      </c>
      <c r="G4" s="52">
        <f>"Предупреждений: "&amp;COUNTIF($H$7:$H$306,"⚠*")</f>
        <v/>
      </c>
      <c r="H4" s="56" t="n"/>
      <c r="I4" s="53" t="n"/>
    </row>
    <row r="5" ht="1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32" customHeight="1">
      <c r="A6" s="57" t="inlineStr">
        <is>
          <t>№</t>
        </is>
      </c>
      <c r="B6" s="58" t="inlineStr">
        <is>
          <t>Дата</t>
        </is>
      </c>
      <c r="C6" s="58" t="inlineStr">
        <is>
          <t>Категория</t>
        </is>
      </c>
      <c r="D6" s="58" t="inlineStr">
        <is>
          <t>Месяц (необяз.)</t>
        </is>
      </c>
      <c r="E6" s="58" t="inlineStr">
        <is>
          <t>Сумма</t>
        </is>
      </c>
      <c r="F6" s="58" t="inlineStr">
        <is>
          <t>Способ</t>
        </is>
      </c>
      <c r="G6" s="58" t="inlineStr">
        <is>
          <t>Комментарий</t>
        </is>
      </c>
      <c r="H6" s="58" t="inlineStr">
        <is>
          <t>🤖 Контроль</t>
        </is>
      </c>
      <c r="I6" s="59" t="inlineStr">
        <is>
          <t>🤖 Учтён за месяц</t>
        </is>
      </c>
    </row>
    <row r="7" ht="22" customHeight="1">
      <c r="A7" s="60">
        <f>IF(B7="","",ROW()-6)</f>
        <v/>
      </c>
      <c r="B7" s="61" t="n"/>
      <c r="C7" s="62" t="n"/>
      <c r="D7" s="63" t="n"/>
      <c r="E7" s="64" t="n"/>
      <c r="F7" s="62" t="n"/>
      <c r="G7" s="62" t="n"/>
      <c r="H7" s="65">
        <f>IF(COUNTA(B7:G7)=0,"",IF(B7="","⚠ нет даты",IF(C7="","⚠ нет категории",IF(NOT(ISNUMBER(E7)),"⚠ нет суммы",IF(E7&lt;=0,"⚠ сумма ≤ 0",IF(AND(Главная!$B$7&lt;&gt;"",B7&lt;Главная!$B$7),"⚠ дата до договора",IF(B7&gt;TODAY(),"ⓘ будущая дата","✓ ОК")))))))</f>
        <v/>
      </c>
      <c r="I7" s="66">
        <f>IF(COUNTA(B7:G7)=0,"",IF(D7&lt;&gt;"",D7,IF(B7="","",DATE(YEAR(B7),MONTH(B7),1))))</f>
        <v/>
      </c>
    </row>
    <row r="8" ht="22" customHeight="1">
      <c r="A8" s="60">
        <f>IF(B8="","",ROW()-6)</f>
        <v/>
      </c>
      <c r="B8" s="61" t="n"/>
      <c r="C8" s="62" t="n"/>
      <c r="D8" s="63" t="n"/>
      <c r="E8" s="64" t="n"/>
      <c r="F8" s="62" t="n"/>
      <c r="G8" s="62" t="n"/>
      <c r="H8" s="65">
        <f>IF(COUNTA(B8:G8)=0,"",IF(B8="","⚠ нет даты",IF(C8="","⚠ нет категории",IF(NOT(ISNUMBER(E8)),"⚠ нет суммы",IF(E8&lt;=0,"⚠ сумма ≤ 0",IF(AND(Главная!$B$7&lt;&gt;"",B8&lt;Главная!$B$7),"⚠ дата до договора",IF(B8&gt;TODAY(),"ⓘ будущая дата","✓ ОК")))))))</f>
        <v/>
      </c>
      <c r="I8" s="66">
        <f>IF(COUNTA(B8:G8)=0,"",IF(D8&lt;&gt;"",D8,IF(B8="","",DATE(YEAR(B8),MONTH(B8),1))))</f>
        <v/>
      </c>
    </row>
    <row r="9" ht="22" customHeight="1">
      <c r="A9" s="60">
        <f>IF(B9="","",ROW()-6)</f>
        <v/>
      </c>
      <c r="B9" s="61" t="n"/>
      <c r="C9" s="62" t="n"/>
      <c r="D9" s="63" t="n"/>
      <c r="E9" s="64" t="n"/>
      <c r="F9" s="62" t="n"/>
      <c r="G9" s="62" t="n"/>
      <c r="H9" s="65">
        <f>IF(COUNTA(B9:G9)=0,"",IF(B9="","⚠ нет даты",IF(C9="","⚠ нет категории",IF(NOT(ISNUMBER(E9)),"⚠ нет суммы",IF(E9&lt;=0,"⚠ сумма ≤ 0",IF(AND(Главная!$B$7&lt;&gt;"",B9&lt;Главная!$B$7),"⚠ дата до договора",IF(B9&gt;TODAY(),"ⓘ будущая дата","✓ ОК")))))))</f>
        <v/>
      </c>
      <c r="I9" s="66">
        <f>IF(COUNTA(B9:G9)=0,"",IF(D9&lt;&gt;"",D9,IF(B9="","",DATE(YEAR(B9),MONTH(B9),1))))</f>
        <v/>
      </c>
    </row>
    <row r="10" ht="22" customHeight="1">
      <c r="A10" s="60">
        <f>IF(B10="","",ROW()-6)</f>
        <v/>
      </c>
      <c r="B10" s="61" t="n"/>
      <c r="C10" s="62" t="n"/>
      <c r="D10" s="63" t="n"/>
      <c r="E10" s="64" t="n"/>
      <c r="F10" s="62" t="n"/>
      <c r="G10" s="62" t="n"/>
      <c r="H10" s="65">
        <f>IF(COUNTA(B10:G10)=0,"",IF(B10="","⚠ нет даты",IF(C10="","⚠ нет категории",IF(NOT(ISNUMBER(E10)),"⚠ нет суммы",IF(E10&lt;=0,"⚠ сумма ≤ 0",IF(AND(Главная!$B$7&lt;&gt;"",B10&lt;Главная!$B$7),"⚠ дата до договора",IF(B10&gt;TODAY(),"ⓘ будущая дата","✓ ОК")))))))</f>
        <v/>
      </c>
      <c r="I10" s="66">
        <f>IF(COUNTA(B10:G10)=0,"",IF(D10&lt;&gt;"",D10,IF(B10="","",DATE(YEAR(B10),MONTH(B10),1))))</f>
        <v/>
      </c>
    </row>
    <row r="11" ht="22" customHeight="1">
      <c r="A11" s="60">
        <f>IF(B11="","",ROW()-6)</f>
        <v/>
      </c>
      <c r="B11" s="61" t="n"/>
      <c r="C11" s="62" t="n"/>
      <c r="D11" s="63" t="n"/>
      <c r="E11" s="64" t="n"/>
      <c r="F11" s="62" t="n"/>
      <c r="G11" s="62" t="n"/>
      <c r="H11" s="65">
        <f>IF(COUNTA(B11:G11)=0,"",IF(B11="","⚠ нет даты",IF(C11="","⚠ нет категории",IF(NOT(ISNUMBER(E11)),"⚠ нет суммы",IF(E11&lt;=0,"⚠ сумма ≤ 0",IF(AND(Главная!$B$7&lt;&gt;"",B11&lt;Главная!$B$7),"⚠ дата до договора",IF(B11&gt;TODAY(),"ⓘ будущая дата","✓ ОК")))))))</f>
        <v/>
      </c>
      <c r="I11" s="66">
        <f>IF(COUNTA(B11:G11)=0,"",IF(D11&lt;&gt;"",D11,IF(B11="","",DATE(YEAR(B11),MONTH(B11),1))))</f>
        <v/>
      </c>
    </row>
    <row r="12" ht="22" customHeight="1">
      <c r="A12" s="60">
        <f>IF(B12="","",ROW()-6)</f>
        <v/>
      </c>
      <c r="B12" s="61" t="n"/>
      <c r="C12" s="62" t="n"/>
      <c r="D12" s="63" t="n"/>
      <c r="E12" s="64" t="n"/>
      <c r="F12" s="62" t="n"/>
      <c r="G12" s="62" t="n"/>
      <c r="H12" s="65">
        <f>IF(COUNTA(B12:G12)=0,"",IF(B12="","⚠ нет даты",IF(C12="","⚠ нет категории",IF(NOT(ISNUMBER(E12)),"⚠ нет суммы",IF(E12&lt;=0,"⚠ сумма ≤ 0",IF(AND(Главная!$B$7&lt;&gt;"",B12&lt;Главная!$B$7),"⚠ дата до договора",IF(B12&gt;TODAY(),"ⓘ будущая дата","✓ ОК")))))))</f>
        <v/>
      </c>
      <c r="I12" s="66">
        <f>IF(COUNTA(B12:G12)=0,"",IF(D12&lt;&gt;"",D12,IF(B12="","",DATE(YEAR(B12),MONTH(B12),1))))</f>
        <v/>
      </c>
    </row>
    <row r="13" ht="22" customHeight="1">
      <c r="A13" s="60">
        <f>IF(B13="","",ROW()-6)</f>
        <v/>
      </c>
      <c r="B13" s="61" t="n"/>
      <c r="C13" s="62" t="n"/>
      <c r="D13" s="63" t="n"/>
      <c r="E13" s="64" t="n"/>
      <c r="F13" s="62" t="n"/>
      <c r="G13" s="62" t="n"/>
      <c r="H13" s="65">
        <f>IF(COUNTA(B13:G13)=0,"",IF(B13="","⚠ нет даты",IF(C13="","⚠ нет категории",IF(NOT(ISNUMBER(E13)),"⚠ нет суммы",IF(E13&lt;=0,"⚠ сумма ≤ 0",IF(AND(Главная!$B$7&lt;&gt;"",B13&lt;Главная!$B$7),"⚠ дата до договора",IF(B13&gt;TODAY(),"ⓘ будущая дата","✓ ОК")))))))</f>
        <v/>
      </c>
      <c r="I13" s="66">
        <f>IF(COUNTA(B13:G13)=0,"",IF(D13&lt;&gt;"",D13,IF(B13="","",DATE(YEAR(B13),MONTH(B13),1))))</f>
        <v/>
      </c>
    </row>
    <row r="14" ht="22" customHeight="1">
      <c r="A14" s="60">
        <f>IF(B14="","",ROW()-6)</f>
        <v/>
      </c>
      <c r="B14" s="61" t="n"/>
      <c r="C14" s="62" t="n"/>
      <c r="D14" s="63" t="n"/>
      <c r="E14" s="64" t="n"/>
      <c r="F14" s="62" t="n"/>
      <c r="G14" s="62" t="n"/>
      <c r="H14" s="65">
        <f>IF(COUNTA(B14:G14)=0,"",IF(B14="","⚠ нет даты",IF(C14="","⚠ нет категории",IF(NOT(ISNUMBER(E14)),"⚠ нет суммы",IF(E14&lt;=0,"⚠ сумма ≤ 0",IF(AND(Главная!$B$7&lt;&gt;"",B14&lt;Главная!$B$7),"⚠ дата до договора",IF(B14&gt;TODAY(),"ⓘ будущая дата","✓ ОК")))))))</f>
        <v/>
      </c>
      <c r="I14" s="66">
        <f>IF(COUNTA(B14:G14)=0,"",IF(D14&lt;&gt;"",D14,IF(B14="","",DATE(YEAR(B14),MONTH(B14),1))))</f>
        <v/>
      </c>
    </row>
    <row r="15" ht="22" customHeight="1">
      <c r="A15" s="60">
        <f>IF(B15="","",ROW()-6)</f>
        <v/>
      </c>
      <c r="B15" s="61" t="n"/>
      <c r="C15" s="62" t="n"/>
      <c r="D15" s="63" t="n"/>
      <c r="E15" s="64" t="n"/>
      <c r="F15" s="62" t="n"/>
      <c r="G15" s="62" t="n"/>
      <c r="H15" s="65">
        <f>IF(COUNTA(B15:G15)=0,"",IF(B15="","⚠ нет даты",IF(C15="","⚠ нет категории",IF(NOT(ISNUMBER(E15)),"⚠ нет суммы",IF(E15&lt;=0,"⚠ сумма ≤ 0",IF(AND(Главная!$B$7&lt;&gt;"",B15&lt;Главная!$B$7),"⚠ дата до договора",IF(B15&gt;TODAY(),"ⓘ будущая дата","✓ ОК")))))))</f>
        <v/>
      </c>
      <c r="I15" s="66">
        <f>IF(COUNTA(B15:G15)=0,"",IF(D15&lt;&gt;"",D15,IF(B15="","",DATE(YEAR(B15),MONTH(B15),1))))</f>
        <v/>
      </c>
    </row>
    <row r="16" ht="22" customHeight="1">
      <c r="A16" s="60">
        <f>IF(B16="","",ROW()-6)</f>
        <v/>
      </c>
      <c r="B16" s="61" t="n"/>
      <c r="C16" s="62" t="n"/>
      <c r="D16" s="63" t="n"/>
      <c r="E16" s="64" t="n"/>
      <c r="F16" s="62" t="n"/>
      <c r="G16" s="62" t="n"/>
      <c r="H16" s="65">
        <f>IF(COUNTA(B16:G16)=0,"",IF(B16="","⚠ нет даты",IF(C16="","⚠ нет категории",IF(NOT(ISNUMBER(E16)),"⚠ нет суммы",IF(E16&lt;=0,"⚠ сумма ≤ 0",IF(AND(Главная!$B$7&lt;&gt;"",B16&lt;Главная!$B$7),"⚠ дата до договора",IF(B16&gt;TODAY(),"ⓘ будущая дата","✓ ОК")))))))</f>
        <v/>
      </c>
      <c r="I16" s="66">
        <f>IF(COUNTA(B16:G16)=0,"",IF(D16&lt;&gt;"",D16,IF(B16="","",DATE(YEAR(B16),MONTH(B16),1))))</f>
        <v/>
      </c>
    </row>
    <row r="17" ht="22" customHeight="1">
      <c r="A17" s="60">
        <f>IF(B17="","",ROW()-6)</f>
        <v/>
      </c>
      <c r="B17" s="61" t="n"/>
      <c r="C17" s="62" t="n"/>
      <c r="D17" s="63" t="n"/>
      <c r="E17" s="64" t="n"/>
      <c r="F17" s="62" t="n"/>
      <c r="G17" s="62" t="n"/>
      <c r="H17" s="65">
        <f>IF(COUNTA(B17:G17)=0,"",IF(B17="","⚠ нет даты",IF(C17="","⚠ нет категории",IF(NOT(ISNUMBER(E17)),"⚠ нет суммы",IF(E17&lt;=0,"⚠ сумма ≤ 0",IF(AND(Главная!$B$7&lt;&gt;"",B17&lt;Главная!$B$7),"⚠ дата до договора",IF(B17&gt;TODAY(),"ⓘ будущая дата","✓ ОК")))))))</f>
        <v/>
      </c>
      <c r="I17" s="66">
        <f>IF(COUNTA(B17:G17)=0,"",IF(D17&lt;&gt;"",D17,IF(B17="","",DATE(YEAR(B17),MONTH(B17),1))))</f>
        <v/>
      </c>
    </row>
    <row r="18" ht="22" customHeight="1">
      <c r="A18" s="60">
        <f>IF(B18="","",ROW()-6)</f>
        <v/>
      </c>
      <c r="B18" s="61" t="n"/>
      <c r="C18" s="62" t="n"/>
      <c r="D18" s="63" t="n"/>
      <c r="E18" s="64" t="n"/>
      <c r="F18" s="62" t="n"/>
      <c r="G18" s="62" t="n"/>
      <c r="H18" s="65">
        <f>IF(COUNTA(B18:G18)=0,"",IF(B18="","⚠ нет даты",IF(C18="","⚠ нет категории",IF(NOT(ISNUMBER(E18)),"⚠ нет суммы",IF(E18&lt;=0,"⚠ сумма ≤ 0",IF(AND(Главная!$B$7&lt;&gt;"",B18&lt;Главная!$B$7),"⚠ дата до договора",IF(B18&gt;TODAY(),"ⓘ будущая дата","✓ ОК")))))))</f>
        <v/>
      </c>
      <c r="I18" s="66">
        <f>IF(COUNTA(B18:G18)=0,"",IF(D18&lt;&gt;"",D18,IF(B18="","",DATE(YEAR(B18),MONTH(B18),1))))</f>
        <v/>
      </c>
    </row>
    <row r="19" ht="22" customHeight="1">
      <c r="A19" s="60">
        <f>IF(B19="","",ROW()-6)</f>
        <v/>
      </c>
      <c r="B19" s="61" t="n"/>
      <c r="C19" s="62" t="n"/>
      <c r="D19" s="63" t="n"/>
      <c r="E19" s="64" t="n"/>
      <c r="F19" s="62" t="n"/>
      <c r="G19" s="62" t="n"/>
      <c r="H19" s="65">
        <f>IF(COUNTA(B19:G19)=0,"",IF(B19="","⚠ нет даты",IF(C19="","⚠ нет категории",IF(NOT(ISNUMBER(E19)),"⚠ нет суммы",IF(E19&lt;=0,"⚠ сумма ≤ 0",IF(AND(Главная!$B$7&lt;&gt;"",B19&lt;Главная!$B$7),"⚠ дата до договора",IF(B19&gt;TODAY(),"ⓘ будущая дата","✓ ОК")))))))</f>
        <v/>
      </c>
      <c r="I19" s="66">
        <f>IF(COUNTA(B19:G19)=0,"",IF(D19&lt;&gt;"",D19,IF(B19="","",DATE(YEAR(B19),MONTH(B19),1))))</f>
        <v/>
      </c>
    </row>
    <row r="20" ht="22" customHeight="1">
      <c r="A20" s="60">
        <f>IF(B20="","",ROW()-6)</f>
        <v/>
      </c>
      <c r="B20" s="61" t="n"/>
      <c r="C20" s="62" t="n"/>
      <c r="D20" s="63" t="n"/>
      <c r="E20" s="64" t="n"/>
      <c r="F20" s="62" t="n"/>
      <c r="G20" s="62" t="n"/>
      <c r="H20" s="65">
        <f>IF(COUNTA(B20:G20)=0,"",IF(B20="","⚠ нет даты",IF(C20="","⚠ нет категории",IF(NOT(ISNUMBER(E20)),"⚠ нет суммы",IF(E20&lt;=0,"⚠ сумма ≤ 0",IF(AND(Главная!$B$7&lt;&gt;"",B20&lt;Главная!$B$7),"⚠ дата до договора",IF(B20&gt;TODAY(),"ⓘ будущая дата","✓ ОК")))))))</f>
        <v/>
      </c>
      <c r="I20" s="66">
        <f>IF(COUNTA(B20:G20)=0,"",IF(D20&lt;&gt;"",D20,IF(B20="","",DATE(YEAR(B20),MONTH(B20),1))))</f>
        <v/>
      </c>
    </row>
    <row r="21" ht="22" customHeight="1">
      <c r="A21" s="60">
        <f>IF(B21="","",ROW()-6)</f>
        <v/>
      </c>
      <c r="B21" s="61" t="n"/>
      <c r="C21" s="62" t="n"/>
      <c r="D21" s="63" t="n"/>
      <c r="E21" s="64" t="n"/>
      <c r="F21" s="62" t="n"/>
      <c r="G21" s="62" t="n"/>
      <c r="H21" s="65">
        <f>IF(COUNTA(B21:G21)=0,"",IF(B21="","⚠ нет даты",IF(C21="","⚠ нет категории",IF(NOT(ISNUMBER(E21)),"⚠ нет суммы",IF(E21&lt;=0,"⚠ сумма ≤ 0",IF(AND(Главная!$B$7&lt;&gt;"",B21&lt;Главная!$B$7),"⚠ дата до договора",IF(B21&gt;TODAY(),"ⓘ будущая дата","✓ ОК")))))))</f>
        <v/>
      </c>
      <c r="I21" s="66">
        <f>IF(COUNTA(B21:G21)=0,"",IF(D21&lt;&gt;"",D21,IF(B21="","",DATE(YEAR(B21),MONTH(B21),1))))</f>
        <v/>
      </c>
    </row>
    <row r="22" ht="22" customHeight="1">
      <c r="A22" s="60">
        <f>IF(B22="","",ROW()-6)</f>
        <v/>
      </c>
      <c r="B22" s="61" t="n"/>
      <c r="C22" s="62" t="n"/>
      <c r="D22" s="63" t="n"/>
      <c r="E22" s="64" t="n"/>
      <c r="F22" s="62" t="n"/>
      <c r="G22" s="62" t="n"/>
      <c r="H22" s="65">
        <f>IF(COUNTA(B22:G22)=0,"",IF(B22="","⚠ нет даты",IF(C22="","⚠ нет категории",IF(NOT(ISNUMBER(E22)),"⚠ нет суммы",IF(E22&lt;=0,"⚠ сумма ≤ 0",IF(AND(Главная!$B$7&lt;&gt;"",B22&lt;Главная!$B$7),"⚠ дата до договора",IF(B22&gt;TODAY(),"ⓘ будущая дата","✓ ОК")))))))</f>
        <v/>
      </c>
      <c r="I22" s="66">
        <f>IF(COUNTA(B22:G22)=0,"",IF(D22&lt;&gt;"",D22,IF(B22="","",DATE(YEAR(B22),MONTH(B22),1))))</f>
        <v/>
      </c>
    </row>
    <row r="23" ht="22" customHeight="1">
      <c r="A23" s="60">
        <f>IF(B23="","",ROW()-6)</f>
        <v/>
      </c>
      <c r="B23" s="61" t="n"/>
      <c r="C23" s="62" t="n"/>
      <c r="D23" s="63" t="n"/>
      <c r="E23" s="64" t="n"/>
      <c r="F23" s="62" t="n"/>
      <c r="G23" s="62" t="n"/>
      <c r="H23" s="65">
        <f>IF(COUNTA(B23:G23)=0,"",IF(B23="","⚠ нет даты",IF(C23="","⚠ нет категории",IF(NOT(ISNUMBER(E23)),"⚠ нет суммы",IF(E23&lt;=0,"⚠ сумма ≤ 0",IF(AND(Главная!$B$7&lt;&gt;"",B23&lt;Главная!$B$7),"⚠ дата до договора",IF(B23&gt;TODAY(),"ⓘ будущая дата","✓ ОК")))))))</f>
        <v/>
      </c>
      <c r="I23" s="66">
        <f>IF(COUNTA(B23:G23)=0,"",IF(D23&lt;&gt;"",D23,IF(B23="","",DATE(YEAR(B23),MONTH(B23),1))))</f>
        <v/>
      </c>
    </row>
    <row r="24" ht="22" customHeight="1">
      <c r="A24" s="60">
        <f>IF(B24="","",ROW()-6)</f>
        <v/>
      </c>
      <c r="B24" s="61" t="n"/>
      <c r="C24" s="62" t="n"/>
      <c r="D24" s="63" t="n"/>
      <c r="E24" s="64" t="n"/>
      <c r="F24" s="62" t="n"/>
      <c r="G24" s="62" t="n"/>
      <c r="H24" s="65">
        <f>IF(COUNTA(B24:G24)=0,"",IF(B24="","⚠ нет даты",IF(C24="","⚠ нет категории",IF(NOT(ISNUMBER(E24)),"⚠ нет суммы",IF(E24&lt;=0,"⚠ сумма ≤ 0",IF(AND(Главная!$B$7&lt;&gt;"",B24&lt;Главная!$B$7),"⚠ дата до договора",IF(B24&gt;TODAY(),"ⓘ будущая дата","✓ ОК")))))))</f>
        <v/>
      </c>
      <c r="I24" s="66">
        <f>IF(COUNTA(B24:G24)=0,"",IF(D24&lt;&gt;"",D24,IF(B24="","",DATE(YEAR(B24),MONTH(B24),1))))</f>
        <v/>
      </c>
    </row>
    <row r="25" ht="22" customHeight="1">
      <c r="A25" s="60">
        <f>IF(B25="","",ROW()-6)</f>
        <v/>
      </c>
      <c r="B25" s="61" t="n"/>
      <c r="C25" s="62" t="n"/>
      <c r="D25" s="63" t="n"/>
      <c r="E25" s="64" t="n"/>
      <c r="F25" s="62" t="n"/>
      <c r="G25" s="62" t="n"/>
      <c r="H25" s="65">
        <f>IF(COUNTA(B25:G25)=0,"",IF(B25="","⚠ нет даты",IF(C25="","⚠ нет категории",IF(NOT(ISNUMBER(E25)),"⚠ нет суммы",IF(E25&lt;=0,"⚠ сумма ≤ 0",IF(AND(Главная!$B$7&lt;&gt;"",B25&lt;Главная!$B$7),"⚠ дата до договора",IF(B25&gt;TODAY(),"ⓘ будущая дата","✓ ОК")))))))</f>
        <v/>
      </c>
      <c r="I25" s="66">
        <f>IF(COUNTA(B25:G25)=0,"",IF(D25&lt;&gt;"",D25,IF(B25="","",DATE(YEAR(B25),MONTH(B25),1))))</f>
        <v/>
      </c>
    </row>
    <row r="26" ht="22" customHeight="1">
      <c r="A26" s="60">
        <f>IF(B26="","",ROW()-6)</f>
        <v/>
      </c>
      <c r="B26" s="61" t="n"/>
      <c r="C26" s="62" t="n"/>
      <c r="D26" s="63" t="n"/>
      <c r="E26" s="64" t="n"/>
      <c r="F26" s="62" t="n"/>
      <c r="G26" s="62" t="n"/>
      <c r="H26" s="65">
        <f>IF(COUNTA(B26:G26)=0,"",IF(B26="","⚠ нет даты",IF(C26="","⚠ нет категории",IF(NOT(ISNUMBER(E26)),"⚠ нет суммы",IF(E26&lt;=0,"⚠ сумма ≤ 0",IF(AND(Главная!$B$7&lt;&gt;"",B26&lt;Главная!$B$7),"⚠ дата до договора",IF(B26&gt;TODAY(),"ⓘ будущая дата","✓ ОК")))))))</f>
        <v/>
      </c>
      <c r="I26" s="66">
        <f>IF(COUNTA(B26:G26)=0,"",IF(D26&lt;&gt;"",D26,IF(B26="","",DATE(YEAR(B26),MONTH(B26),1))))</f>
        <v/>
      </c>
    </row>
    <row r="27" ht="22" customHeight="1">
      <c r="A27" s="60">
        <f>IF(B27="","",ROW()-6)</f>
        <v/>
      </c>
      <c r="B27" s="61" t="n"/>
      <c r="C27" s="62" t="n"/>
      <c r="D27" s="63" t="n"/>
      <c r="E27" s="64" t="n"/>
      <c r="F27" s="62" t="n"/>
      <c r="G27" s="62" t="n"/>
      <c r="H27" s="65">
        <f>IF(COUNTA(B27:G27)=0,"",IF(B27="","⚠ нет даты",IF(C27="","⚠ нет категории",IF(NOT(ISNUMBER(E27)),"⚠ нет суммы",IF(E27&lt;=0,"⚠ сумма ≤ 0",IF(AND(Главная!$B$7&lt;&gt;"",B27&lt;Главная!$B$7),"⚠ дата до договора",IF(B27&gt;TODAY(),"ⓘ будущая дата","✓ ОК")))))))</f>
        <v/>
      </c>
      <c r="I27" s="66">
        <f>IF(COUNTA(B27:G27)=0,"",IF(D27&lt;&gt;"",D27,IF(B27="","",DATE(YEAR(B27),MONTH(B27),1))))</f>
        <v/>
      </c>
    </row>
    <row r="28" ht="22" customHeight="1">
      <c r="A28" s="60">
        <f>IF(B28="","",ROW()-6)</f>
        <v/>
      </c>
      <c r="B28" s="61" t="n"/>
      <c r="C28" s="62" t="n"/>
      <c r="D28" s="63" t="n"/>
      <c r="E28" s="64" t="n"/>
      <c r="F28" s="62" t="n"/>
      <c r="G28" s="62" t="n"/>
      <c r="H28" s="65">
        <f>IF(COUNTA(B28:G28)=0,"",IF(B28="","⚠ нет даты",IF(C28="","⚠ нет категории",IF(NOT(ISNUMBER(E28)),"⚠ нет суммы",IF(E28&lt;=0,"⚠ сумма ≤ 0",IF(AND(Главная!$B$7&lt;&gt;"",B28&lt;Главная!$B$7),"⚠ дата до договора",IF(B28&gt;TODAY(),"ⓘ будущая дата","✓ ОК")))))))</f>
        <v/>
      </c>
      <c r="I28" s="66">
        <f>IF(COUNTA(B28:G28)=0,"",IF(D28&lt;&gt;"",D28,IF(B28="","",DATE(YEAR(B28),MONTH(B28),1))))</f>
        <v/>
      </c>
    </row>
    <row r="29" ht="22" customHeight="1">
      <c r="A29" s="60">
        <f>IF(B29="","",ROW()-6)</f>
        <v/>
      </c>
      <c r="B29" s="61" t="n"/>
      <c r="C29" s="62" t="n"/>
      <c r="D29" s="63" t="n"/>
      <c r="E29" s="64" t="n"/>
      <c r="F29" s="62" t="n"/>
      <c r="G29" s="62" t="n"/>
      <c r="H29" s="65">
        <f>IF(COUNTA(B29:G29)=0,"",IF(B29="","⚠ нет даты",IF(C29="","⚠ нет категории",IF(NOT(ISNUMBER(E29)),"⚠ нет суммы",IF(E29&lt;=0,"⚠ сумма ≤ 0",IF(AND(Главная!$B$7&lt;&gt;"",B29&lt;Главная!$B$7),"⚠ дата до договора",IF(B29&gt;TODAY(),"ⓘ будущая дата","✓ ОК")))))))</f>
        <v/>
      </c>
      <c r="I29" s="66">
        <f>IF(COUNTA(B29:G29)=0,"",IF(D29&lt;&gt;"",D29,IF(B29="","",DATE(YEAR(B29),MONTH(B29),1))))</f>
        <v/>
      </c>
    </row>
    <row r="30" ht="22" customHeight="1">
      <c r="A30" s="60">
        <f>IF(B30="","",ROW()-6)</f>
        <v/>
      </c>
      <c r="B30" s="61" t="n"/>
      <c r="C30" s="62" t="n"/>
      <c r="D30" s="63" t="n"/>
      <c r="E30" s="64" t="n"/>
      <c r="F30" s="62" t="n"/>
      <c r="G30" s="62" t="n"/>
      <c r="H30" s="65">
        <f>IF(COUNTA(B30:G30)=0,"",IF(B30="","⚠ нет даты",IF(C30="","⚠ нет категории",IF(NOT(ISNUMBER(E30)),"⚠ нет суммы",IF(E30&lt;=0,"⚠ сумма ≤ 0",IF(AND(Главная!$B$7&lt;&gt;"",B30&lt;Главная!$B$7),"⚠ дата до договора",IF(B30&gt;TODAY(),"ⓘ будущая дата","✓ ОК")))))))</f>
        <v/>
      </c>
      <c r="I30" s="66">
        <f>IF(COUNTA(B30:G30)=0,"",IF(D30&lt;&gt;"",D30,IF(B30="","",DATE(YEAR(B30),MONTH(B30),1))))</f>
        <v/>
      </c>
    </row>
    <row r="31" ht="22" customHeight="1">
      <c r="A31" s="60">
        <f>IF(B31="","",ROW()-6)</f>
        <v/>
      </c>
      <c r="B31" s="61" t="n"/>
      <c r="C31" s="62" t="n"/>
      <c r="D31" s="63" t="n"/>
      <c r="E31" s="64" t="n"/>
      <c r="F31" s="62" t="n"/>
      <c r="G31" s="62" t="n"/>
      <c r="H31" s="65">
        <f>IF(COUNTA(B31:G31)=0,"",IF(B31="","⚠ нет даты",IF(C31="","⚠ нет категории",IF(NOT(ISNUMBER(E31)),"⚠ нет суммы",IF(E31&lt;=0,"⚠ сумма ≤ 0",IF(AND(Главная!$B$7&lt;&gt;"",B31&lt;Главная!$B$7),"⚠ дата до договора",IF(B31&gt;TODAY(),"ⓘ будущая дата","✓ ОК")))))))</f>
        <v/>
      </c>
      <c r="I31" s="66">
        <f>IF(COUNTA(B31:G31)=0,"",IF(D31&lt;&gt;"",D31,IF(B31="","",DATE(YEAR(B31),MONTH(B31),1))))</f>
        <v/>
      </c>
    </row>
    <row r="32" ht="22" customHeight="1">
      <c r="A32" s="60">
        <f>IF(B32="","",ROW()-6)</f>
        <v/>
      </c>
      <c r="B32" s="61" t="n"/>
      <c r="C32" s="62" t="n"/>
      <c r="D32" s="63" t="n"/>
      <c r="E32" s="64" t="n"/>
      <c r="F32" s="62" t="n"/>
      <c r="G32" s="62" t="n"/>
      <c r="H32" s="65">
        <f>IF(COUNTA(B32:G32)=0,"",IF(B32="","⚠ нет даты",IF(C32="","⚠ нет категории",IF(NOT(ISNUMBER(E32)),"⚠ нет суммы",IF(E32&lt;=0,"⚠ сумма ≤ 0",IF(AND(Главная!$B$7&lt;&gt;"",B32&lt;Главная!$B$7),"⚠ дата до договора",IF(B32&gt;TODAY(),"ⓘ будущая дата","✓ ОК")))))))</f>
        <v/>
      </c>
      <c r="I32" s="66">
        <f>IF(COUNTA(B32:G32)=0,"",IF(D32&lt;&gt;"",D32,IF(B32="","",DATE(YEAR(B32),MONTH(B32),1))))</f>
        <v/>
      </c>
    </row>
    <row r="33" ht="22" customHeight="1">
      <c r="A33" s="60">
        <f>IF(B33="","",ROW()-6)</f>
        <v/>
      </c>
      <c r="B33" s="61" t="n"/>
      <c r="C33" s="62" t="n"/>
      <c r="D33" s="63" t="n"/>
      <c r="E33" s="64" t="n"/>
      <c r="F33" s="62" t="n"/>
      <c r="G33" s="62" t="n"/>
      <c r="H33" s="65">
        <f>IF(COUNTA(B33:G33)=0,"",IF(B33="","⚠ нет даты",IF(C33="","⚠ нет категории",IF(NOT(ISNUMBER(E33)),"⚠ нет суммы",IF(E33&lt;=0,"⚠ сумма ≤ 0",IF(AND(Главная!$B$7&lt;&gt;"",B33&lt;Главная!$B$7),"⚠ дата до договора",IF(B33&gt;TODAY(),"ⓘ будущая дата","✓ ОК")))))))</f>
        <v/>
      </c>
      <c r="I33" s="66">
        <f>IF(COUNTA(B33:G33)=0,"",IF(D33&lt;&gt;"",D33,IF(B33="","",DATE(YEAR(B33),MONTH(B33),1))))</f>
        <v/>
      </c>
    </row>
    <row r="34" ht="22" customHeight="1">
      <c r="A34" s="60">
        <f>IF(B34="","",ROW()-6)</f>
        <v/>
      </c>
      <c r="B34" s="61" t="n"/>
      <c r="C34" s="62" t="n"/>
      <c r="D34" s="63" t="n"/>
      <c r="E34" s="64" t="n"/>
      <c r="F34" s="62" t="n"/>
      <c r="G34" s="62" t="n"/>
      <c r="H34" s="65">
        <f>IF(COUNTA(B34:G34)=0,"",IF(B34="","⚠ нет даты",IF(C34="","⚠ нет категории",IF(NOT(ISNUMBER(E34)),"⚠ нет суммы",IF(E34&lt;=0,"⚠ сумма ≤ 0",IF(AND(Главная!$B$7&lt;&gt;"",B34&lt;Главная!$B$7),"⚠ дата до договора",IF(B34&gt;TODAY(),"ⓘ будущая дата","✓ ОК")))))))</f>
        <v/>
      </c>
      <c r="I34" s="66">
        <f>IF(COUNTA(B34:G34)=0,"",IF(D34&lt;&gt;"",D34,IF(B34="","",DATE(YEAR(B34),MONTH(B34),1))))</f>
        <v/>
      </c>
    </row>
    <row r="35" ht="22" customHeight="1">
      <c r="A35" s="60">
        <f>IF(B35="","",ROW()-6)</f>
        <v/>
      </c>
      <c r="B35" s="61" t="n"/>
      <c r="C35" s="62" t="n"/>
      <c r="D35" s="63" t="n"/>
      <c r="E35" s="64" t="n"/>
      <c r="F35" s="62" t="n"/>
      <c r="G35" s="62" t="n"/>
      <c r="H35" s="65">
        <f>IF(COUNTA(B35:G35)=0,"",IF(B35="","⚠ нет даты",IF(C35="","⚠ нет категории",IF(NOT(ISNUMBER(E35)),"⚠ нет суммы",IF(E35&lt;=0,"⚠ сумма ≤ 0",IF(AND(Главная!$B$7&lt;&gt;"",B35&lt;Главная!$B$7),"⚠ дата до договора",IF(B35&gt;TODAY(),"ⓘ будущая дата","✓ ОК")))))))</f>
        <v/>
      </c>
      <c r="I35" s="66">
        <f>IF(COUNTA(B35:G35)=0,"",IF(D35&lt;&gt;"",D35,IF(B35="","",DATE(YEAR(B35),MONTH(B35),1))))</f>
        <v/>
      </c>
    </row>
    <row r="36" ht="22" customHeight="1">
      <c r="A36" s="60">
        <f>IF(B36="","",ROW()-6)</f>
        <v/>
      </c>
      <c r="B36" s="61" t="n"/>
      <c r="C36" s="62" t="n"/>
      <c r="D36" s="63" t="n"/>
      <c r="E36" s="64" t="n"/>
      <c r="F36" s="62" t="n"/>
      <c r="G36" s="62" t="n"/>
      <c r="H36" s="65">
        <f>IF(COUNTA(B36:G36)=0,"",IF(B36="","⚠ нет даты",IF(C36="","⚠ нет категории",IF(NOT(ISNUMBER(E36)),"⚠ нет суммы",IF(E36&lt;=0,"⚠ сумма ≤ 0",IF(AND(Главная!$B$7&lt;&gt;"",B36&lt;Главная!$B$7),"⚠ дата до договора",IF(B36&gt;TODAY(),"ⓘ будущая дата","✓ ОК")))))))</f>
        <v/>
      </c>
      <c r="I36" s="66">
        <f>IF(COUNTA(B36:G36)=0,"",IF(D36&lt;&gt;"",D36,IF(B36="","",DATE(YEAR(B36),MONTH(B36),1))))</f>
        <v/>
      </c>
    </row>
    <row r="37" ht="22" customHeight="1">
      <c r="A37" s="60">
        <f>IF(B37="","",ROW()-6)</f>
        <v/>
      </c>
      <c r="B37" s="61" t="n"/>
      <c r="C37" s="62" t="n"/>
      <c r="D37" s="63" t="n"/>
      <c r="E37" s="64" t="n"/>
      <c r="F37" s="62" t="n"/>
      <c r="G37" s="62" t="n"/>
      <c r="H37" s="65">
        <f>IF(COUNTA(B37:G37)=0,"",IF(B37="","⚠ нет даты",IF(C37="","⚠ нет категории",IF(NOT(ISNUMBER(E37)),"⚠ нет суммы",IF(E37&lt;=0,"⚠ сумма ≤ 0",IF(AND(Главная!$B$7&lt;&gt;"",B37&lt;Главная!$B$7),"⚠ дата до договора",IF(B37&gt;TODAY(),"ⓘ будущая дата","✓ ОК")))))))</f>
        <v/>
      </c>
      <c r="I37" s="66">
        <f>IF(COUNTA(B37:G37)=0,"",IF(D37&lt;&gt;"",D37,IF(B37="","",DATE(YEAR(B37),MONTH(B37),1))))</f>
        <v/>
      </c>
    </row>
    <row r="38" ht="22" customHeight="1">
      <c r="A38" s="60">
        <f>IF(B38="","",ROW()-6)</f>
        <v/>
      </c>
      <c r="B38" s="61" t="n"/>
      <c r="C38" s="62" t="n"/>
      <c r="D38" s="63" t="n"/>
      <c r="E38" s="64" t="n"/>
      <c r="F38" s="62" t="n"/>
      <c r="G38" s="62" t="n"/>
      <c r="H38" s="65">
        <f>IF(COUNTA(B38:G38)=0,"",IF(B38="","⚠ нет даты",IF(C38="","⚠ нет категории",IF(NOT(ISNUMBER(E38)),"⚠ нет суммы",IF(E38&lt;=0,"⚠ сумма ≤ 0",IF(AND(Главная!$B$7&lt;&gt;"",B38&lt;Главная!$B$7),"⚠ дата до договора",IF(B38&gt;TODAY(),"ⓘ будущая дата","✓ ОК")))))))</f>
        <v/>
      </c>
      <c r="I38" s="66">
        <f>IF(COUNTA(B38:G38)=0,"",IF(D38&lt;&gt;"",D38,IF(B38="","",DATE(YEAR(B38),MONTH(B38),1))))</f>
        <v/>
      </c>
    </row>
    <row r="39" ht="22" customHeight="1">
      <c r="A39" s="60">
        <f>IF(B39="","",ROW()-6)</f>
        <v/>
      </c>
      <c r="B39" s="61" t="n"/>
      <c r="C39" s="62" t="n"/>
      <c r="D39" s="63" t="n"/>
      <c r="E39" s="64" t="n"/>
      <c r="F39" s="62" t="n"/>
      <c r="G39" s="62" t="n"/>
      <c r="H39" s="65">
        <f>IF(COUNTA(B39:G39)=0,"",IF(B39="","⚠ нет даты",IF(C39="","⚠ нет категории",IF(NOT(ISNUMBER(E39)),"⚠ нет суммы",IF(E39&lt;=0,"⚠ сумма ≤ 0",IF(AND(Главная!$B$7&lt;&gt;"",B39&lt;Главная!$B$7),"⚠ дата до договора",IF(B39&gt;TODAY(),"ⓘ будущая дата","✓ ОК")))))))</f>
        <v/>
      </c>
      <c r="I39" s="66">
        <f>IF(COUNTA(B39:G39)=0,"",IF(D39&lt;&gt;"",D39,IF(B39="","",DATE(YEAR(B39),MONTH(B39),1))))</f>
        <v/>
      </c>
    </row>
    <row r="40" ht="22" customHeight="1">
      <c r="A40" s="60">
        <f>IF(B40="","",ROW()-6)</f>
        <v/>
      </c>
      <c r="B40" s="61" t="n"/>
      <c r="C40" s="62" t="n"/>
      <c r="D40" s="63" t="n"/>
      <c r="E40" s="64" t="n"/>
      <c r="F40" s="62" t="n"/>
      <c r="G40" s="62" t="n"/>
      <c r="H40" s="65">
        <f>IF(COUNTA(B40:G40)=0,"",IF(B40="","⚠ нет даты",IF(C40="","⚠ нет категории",IF(NOT(ISNUMBER(E40)),"⚠ нет суммы",IF(E40&lt;=0,"⚠ сумма ≤ 0",IF(AND(Главная!$B$7&lt;&gt;"",B40&lt;Главная!$B$7),"⚠ дата до договора",IF(B40&gt;TODAY(),"ⓘ будущая дата","✓ ОК")))))))</f>
        <v/>
      </c>
      <c r="I40" s="66">
        <f>IF(COUNTA(B40:G40)=0,"",IF(D40&lt;&gt;"",D40,IF(B40="","",DATE(YEAR(B40),MONTH(B40),1))))</f>
        <v/>
      </c>
    </row>
    <row r="41" ht="22" customHeight="1">
      <c r="A41" s="60">
        <f>IF(B41="","",ROW()-6)</f>
        <v/>
      </c>
      <c r="B41" s="61" t="n"/>
      <c r="C41" s="62" t="n"/>
      <c r="D41" s="63" t="n"/>
      <c r="E41" s="64" t="n"/>
      <c r="F41" s="62" t="n"/>
      <c r="G41" s="62" t="n"/>
      <c r="H41" s="65">
        <f>IF(COUNTA(B41:G41)=0,"",IF(B41="","⚠ нет даты",IF(C41="","⚠ нет категории",IF(NOT(ISNUMBER(E41)),"⚠ нет суммы",IF(E41&lt;=0,"⚠ сумма ≤ 0",IF(AND(Главная!$B$7&lt;&gt;"",B41&lt;Главная!$B$7),"⚠ дата до договора",IF(B41&gt;TODAY(),"ⓘ будущая дата","✓ ОК")))))))</f>
        <v/>
      </c>
      <c r="I41" s="66">
        <f>IF(COUNTA(B41:G41)=0,"",IF(D41&lt;&gt;"",D41,IF(B41="","",DATE(YEAR(B41),MONTH(B41),1))))</f>
        <v/>
      </c>
    </row>
    <row r="42" ht="22" customHeight="1">
      <c r="A42" s="60">
        <f>IF(B42="","",ROW()-6)</f>
        <v/>
      </c>
      <c r="B42" s="61" t="n"/>
      <c r="C42" s="62" t="n"/>
      <c r="D42" s="63" t="n"/>
      <c r="E42" s="64" t="n"/>
      <c r="F42" s="62" t="n"/>
      <c r="G42" s="62" t="n"/>
      <c r="H42" s="65">
        <f>IF(COUNTA(B42:G42)=0,"",IF(B42="","⚠ нет даты",IF(C42="","⚠ нет категории",IF(NOT(ISNUMBER(E42)),"⚠ нет суммы",IF(E42&lt;=0,"⚠ сумма ≤ 0",IF(AND(Главная!$B$7&lt;&gt;"",B42&lt;Главная!$B$7),"⚠ дата до договора",IF(B42&gt;TODAY(),"ⓘ будущая дата","✓ ОК")))))))</f>
        <v/>
      </c>
      <c r="I42" s="66">
        <f>IF(COUNTA(B42:G42)=0,"",IF(D42&lt;&gt;"",D42,IF(B42="","",DATE(YEAR(B42),MONTH(B42),1))))</f>
        <v/>
      </c>
    </row>
    <row r="43" ht="22" customHeight="1">
      <c r="A43" s="60">
        <f>IF(B43="","",ROW()-6)</f>
        <v/>
      </c>
      <c r="B43" s="61" t="n"/>
      <c r="C43" s="62" t="n"/>
      <c r="D43" s="63" t="n"/>
      <c r="E43" s="64" t="n"/>
      <c r="F43" s="62" t="n"/>
      <c r="G43" s="62" t="n"/>
      <c r="H43" s="65">
        <f>IF(COUNTA(B43:G43)=0,"",IF(B43="","⚠ нет даты",IF(C43="","⚠ нет категории",IF(NOT(ISNUMBER(E43)),"⚠ нет суммы",IF(E43&lt;=0,"⚠ сумма ≤ 0",IF(AND(Главная!$B$7&lt;&gt;"",B43&lt;Главная!$B$7),"⚠ дата до договора",IF(B43&gt;TODAY(),"ⓘ будущая дата","✓ ОК")))))))</f>
        <v/>
      </c>
      <c r="I43" s="66">
        <f>IF(COUNTA(B43:G43)=0,"",IF(D43&lt;&gt;"",D43,IF(B43="","",DATE(YEAR(B43),MONTH(B43),1))))</f>
        <v/>
      </c>
    </row>
    <row r="44" ht="22" customHeight="1">
      <c r="A44" s="60">
        <f>IF(B44="","",ROW()-6)</f>
        <v/>
      </c>
      <c r="B44" s="61" t="n"/>
      <c r="C44" s="62" t="n"/>
      <c r="D44" s="63" t="n"/>
      <c r="E44" s="64" t="n"/>
      <c r="F44" s="62" t="n"/>
      <c r="G44" s="62" t="n"/>
      <c r="H44" s="65">
        <f>IF(COUNTA(B44:G44)=0,"",IF(B44="","⚠ нет даты",IF(C44="","⚠ нет категории",IF(NOT(ISNUMBER(E44)),"⚠ нет суммы",IF(E44&lt;=0,"⚠ сумма ≤ 0",IF(AND(Главная!$B$7&lt;&gt;"",B44&lt;Главная!$B$7),"⚠ дата до договора",IF(B44&gt;TODAY(),"ⓘ будущая дата","✓ ОК")))))))</f>
        <v/>
      </c>
      <c r="I44" s="66">
        <f>IF(COUNTA(B44:G44)=0,"",IF(D44&lt;&gt;"",D44,IF(B44="","",DATE(YEAR(B44),MONTH(B44),1))))</f>
        <v/>
      </c>
    </row>
    <row r="45" ht="22" customHeight="1">
      <c r="A45" s="60">
        <f>IF(B45="","",ROW()-6)</f>
        <v/>
      </c>
      <c r="B45" s="61" t="n"/>
      <c r="C45" s="62" t="n"/>
      <c r="D45" s="63" t="n"/>
      <c r="E45" s="64" t="n"/>
      <c r="F45" s="62" t="n"/>
      <c r="G45" s="62" t="n"/>
      <c r="H45" s="65">
        <f>IF(COUNTA(B45:G45)=0,"",IF(B45="","⚠ нет даты",IF(C45="","⚠ нет категории",IF(NOT(ISNUMBER(E45)),"⚠ нет суммы",IF(E45&lt;=0,"⚠ сумма ≤ 0",IF(AND(Главная!$B$7&lt;&gt;"",B45&lt;Главная!$B$7),"⚠ дата до договора",IF(B45&gt;TODAY(),"ⓘ будущая дата","✓ ОК")))))))</f>
        <v/>
      </c>
      <c r="I45" s="66">
        <f>IF(COUNTA(B45:G45)=0,"",IF(D45&lt;&gt;"",D45,IF(B45="","",DATE(YEAR(B45),MONTH(B45),1))))</f>
        <v/>
      </c>
    </row>
    <row r="46" ht="22" customHeight="1">
      <c r="A46" s="60">
        <f>IF(B46="","",ROW()-6)</f>
        <v/>
      </c>
      <c r="B46" s="61" t="n"/>
      <c r="C46" s="62" t="n"/>
      <c r="D46" s="63" t="n"/>
      <c r="E46" s="64" t="n"/>
      <c r="F46" s="62" t="n"/>
      <c r="G46" s="62" t="n"/>
      <c r="H46" s="65">
        <f>IF(COUNTA(B46:G46)=0,"",IF(B46="","⚠ нет даты",IF(C46="","⚠ нет категории",IF(NOT(ISNUMBER(E46)),"⚠ нет суммы",IF(E46&lt;=0,"⚠ сумма ≤ 0",IF(AND(Главная!$B$7&lt;&gt;"",B46&lt;Главная!$B$7),"⚠ дата до договора",IF(B46&gt;TODAY(),"ⓘ будущая дата","✓ ОК")))))))</f>
        <v/>
      </c>
      <c r="I46" s="66">
        <f>IF(COUNTA(B46:G46)=0,"",IF(D46&lt;&gt;"",D46,IF(B46="","",DATE(YEAR(B46),MONTH(B46),1))))</f>
        <v/>
      </c>
    </row>
    <row r="47" ht="22" customHeight="1">
      <c r="A47" s="60">
        <f>IF(B47="","",ROW()-6)</f>
        <v/>
      </c>
      <c r="B47" s="61" t="n"/>
      <c r="C47" s="62" t="n"/>
      <c r="D47" s="63" t="n"/>
      <c r="E47" s="64" t="n"/>
      <c r="F47" s="62" t="n"/>
      <c r="G47" s="62" t="n"/>
      <c r="H47" s="65">
        <f>IF(COUNTA(B47:G47)=0,"",IF(B47="","⚠ нет даты",IF(C47="","⚠ нет категории",IF(NOT(ISNUMBER(E47)),"⚠ нет суммы",IF(E47&lt;=0,"⚠ сумма ≤ 0",IF(AND(Главная!$B$7&lt;&gt;"",B47&lt;Главная!$B$7),"⚠ дата до договора",IF(B47&gt;TODAY(),"ⓘ будущая дата","✓ ОК")))))))</f>
        <v/>
      </c>
      <c r="I47" s="66">
        <f>IF(COUNTA(B47:G47)=0,"",IF(D47&lt;&gt;"",D47,IF(B47="","",DATE(YEAR(B47),MONTH(B47),1))))</f>
        <v/>
      </c>
    </row>
    <row r="48" ht="22" customHeight="1">
      <c r="A48" s="60">
        <f>IF(B48="","",ROW()-6)</f>
        <v/>
      </c>
      <c r="B48" s="61" t="n"/>
      <c r="C48" s="62" t="n"/>
      <c r="D48" s="63" t="n"/>
      <c r="E48" s="64" t="n"/>
      <c r="F48" s="62" t="n"/>
      <c r="G48" s="62" t="n"/>
      <c r="H48" s="65">
        <f>IF(COUNTA(B48:G48)=0,"",IF(B48="","⚠ нет даты",IF(C48="","⚠ нет категории",IF(NOT(ISNUMBER(E48)),"⚠ нет суммы",IF(E48&lt;=0,"⚠ сумма ≤ 0",IF(AND(Главная!$B$7&lt;&gt;"",B48&lt;Главная!$B$7),"⚠ дата до договора",IF(B48&gt;TODAY(),"ⓘ будущая дата","✓ ОК")))))))</f>
        <v/>
      </c>
      <c r="I48" s="66">
        <f>IF(COUNTA(B48:G48)=0,"",IF(D48&lt;&gt;"",D48,IF(B48="","",DATE(YEAR(B48),MONTH(B48),1))))</f>
        <v/>
      </c>
    </row>
    <row r="49" ht="22" customHeight="1">
      <c r="A49" s="60">
        <f>IF(B49="","",ROW()-6)</f>
        <v/>
      </c>
      <c r="B49" s="61" t="n"/>
      <c r="C49" s="62" t="n"/>
      <c r="D49" s="63" t="n"/>
      <c r="E49" s="64" t="n"/>
      <c r="F49" s="62" t="n"/>
      <c r="G49" s="62" t="n"/>
      <c r="H49" s="65">
        <f>IF(COUNTA(B49:G49)=0,"",IF(B49="","⚠ нет даты",IF(C49="","⚠ нет категории",IF(NOT(ISNUMBER(E49)),"⚠ нет суммы",IF(E49&lt;=0,"⚠ сумма ≤ 0",IF(AND(Главная!$B$7&lt;&gt;"",B49&lt;Главная!$B$7),"⚠ дата до договора",IF(B49&gt;TODAY(),"ⓘ будущая дата","✓ ОК")))))))</f>
        <v/>
      </c>
      <c r="I49" s="66">
        <f>IF(COUNTA(B49:G49)=0,"",IF(D49&lt;&gt;"",D49,IF(B49="","",DATE(YEAR(B49),MONTH(B49),1))))</f>
        <v/>
      </c>
    </row>
    <row r="50" ht="22" customHeight="1">
      <c r="A50" s="60">
        <f>IF(B50="","",ROW()-6)</f>
        <v/>
      </c>
      <c r="B50" s="61" t="n"/>
      <c r="C50" s="62" t="n"/>
      <c r="D50" s="63" t="n"/>
      <c r="E50" s="64" t="n"/>
      <c r="F50" s="62" t="n"/>
      <c r="G50" s="62" t="n"/>
      <c r="H50" s="65">
        <f>IF(COUNTA(B50:G50)=0,"",IF(B50="","⚠ нет даты",IF(C50="","⚠ нет категории",IF(NOT(ISNUMBER(E50)),"⚠ нет суммы",IF(E50&lt;=0,"⚠ сумма ≤ 0",IF(AND(Главная!$B$7&lt;&gt;"",B50&lt;Главная!$B$7),"⚠ дата до договора",IF(B50&gt;TODAY(),"ⓘ будущая дата","✓ ОК")))))))</f>
        <v/>
      </c>
      <c r="I50" s="66">
        <f>IF(COUNTA(B50:G50)=0,"",IF(D50&lt;&gt;"",D50,IF(B50="","",DATE(YEAR(B50),MONTH(B50),1))))</f>
        <v/>
      </c>
    </row>
    <row r="51" ht="22" customHeight="1">
      <c r="A51" s="60">
        <f>IF(B51="","",ROW()-6)</f>
        <v/>
      </c>
      <c r="B51" s="61" t="n"/>
      <c r="C51" s="62" t="n"/>
      <c r="D51" s="63" t="n"/>
      <c r="E51" s="64" t="n"/>
      <c r="F51" s="62" t="n"/>
      <c r="G51" s="62" t="n"/>
      <c r="H51" s="65">
        <f>IF(COUNTA(B51:G51)=0,"",IF(B51="","⚠ нет даты",IF(C51="","⚠ нет категории",IF(NOT(ISNUMBER(E51)),"⚠ нет суммы",IF(E51&lt;=0,"⚠ сумма ≤ 0",IF(AND(Главная!$B$7&lt;&gt;"",B51&lt;Главная!$B$7),"⚠ дата до договора",IF(B51&gt;TODAY(),"ⓘ будущая дата","✓ ОК")))))))</f>
        <v/>
      </c>
      <c r="I51" s="66">
        <f>IF(COUNTA(B51:G51)=0,"",IF(D51&lt;&gt;"",D51,IF(B51="","",DATE(YEAR(B51),MONTH(B51),1))))</f>
        <v/>
      </c>
    </row>
    <row r="52" ht="22" customHeight="1">
      <c r="A52" s="60">
        <f>IF(B52="","",ROW()-6)</f>
        <v/>
      </c>
      <c r="B52" s="61" t="n"/>
      <c r="C52" s="62" t="n"/>
      <c r="D52" s="63" t="n"/>
      <c r="E52" s="64" t="n"/>
      <c r="F52" s="62" t="n"/>
      <c r="G52" s="62" t="n"/>
      <c r="H52" s="65">
        <f>IF(COUNTA(B52:G52)=0,"",IF(B52="","⚠ нет даты",IF(C52="","⚠ нет категории",IF(NOT(ISNUMBER(E52)),"⚠ нет суммы",IF(E52&lt;=0,"⚠ сумма ≤ 0",IF(AND(Главная!$B$7&lt;&gt;"",B52&lt;Главная!$B$7),"⚠ дата до договора",IF(B52&gt;TODAY(),"ⓘ будущая дата","✓ ОК")))))))</f>
        <v/>
      </c>
      <c r="I52" s="66">
        <f>IF(COUNTA(B52:G52)=0,"",IF(D52&lt;&gt;"",D52,IF(B52="","",DATE(YEAR(B52),MONTH(B52),1))))</f>
        <v/>
      </c>
    </row>
    <row r="53" ht="22" customHeight="1">
      <c r="A53" s="60">
        <f>IF(B53="","",ROW()-6)</f>
        <v/>
      </c>
      <c r="B53" s="61" t="n"/>
      <c r="C53" s="62" t="n"/>
      <c r="D53" s="63" t="n"/>
      <c r="E53" s="64" t="n"/>
      <c r="F53" s="62" t="n"/>
      <c r="G53" s="62" t="n"/>
      <c r="H53" s="65">
        <f>IF(COUNTA(B53:G53)=0,"",IF(B53="","⚠ нет даты",IF(C53="","⚠ нет категории",IF(NOT(ISNUMBER(E53)),"⚠ нет суммы",IF(E53&lt;=0,"⚠ сумма ≤ 0",IF(AND(Главная!$B$7&lt;&gt;"",B53&lt;Главная!$B$7),"⚠ дата до договора",IF(B53&gt;TODAY(),"ⓘ будущая дата","✓ ОК")))))))</f>
        <v/>
      </c>
      <c r="I53" s="66">
        <f>IF(COUNTA(B53:G53)=0,"",IF(D53&lt;&gt;"",D53,IF(B53="","",DATE(YEAR(B53),MONTH(B53),1))))</f>
        <v/>
      </c>
    </row>
    <row r="54" ht="22" customHeight="1">
      <c r="A54" s="60">
        <f>IF(B54="","",ROW()-6)</f>
        <v/>
      </c>
      <c r="B54" s="61" t="n"/>
      <c r="C54" s="62" t="n"/>
      <c r="D54" s="63" t="n"/>
      <c r="E54" s="64" t="n"/>
      <c r="F54" s="62" t="n"/>
      <c r="G54" s="62" t="n"/>
      <c r="H54" s="65">
        <f>IF(COUNTA(B54:G54)=0,"",IF(B54="","⚠ нет даты",IF(C54="","⚠ нет категории",IF(NOT(ISNUMBER(E54)),"⚠ нет суммы",IF(E54&lt;=0,"⚠ сумма ≤ 0",IF(AND(Главная!$B$7&lt;&gt;"",B54&lt;Главная!$B$7),"⚠ дата до договора",IF(B54&gt;TODAY(),"ⓘ будущая дата","✓ ОК")))))))</f>
        <v/>
      </c>
      <c r="I54" s="66">
        <f>IF(COUNTA(B54:G54)=0,"",IF(D54&lt;&gt;"",D54,IF(B54="","",DATE(YEAR(B54),MONTH(B54),1))))</f>
        <v/>
      </c>
    </row>
    <row r="55" ht="22" customHeight="1">
      <c r="A55" s="60">
        <f>IF(B55="","",ROW()-6)</f>
        <v/>
      </c>
      <c r="B55" s="61" t="n"/>
      <c r="C55" s="62" t="n"/>
      <c r="D55" s="63" t="n"/>
      <c r="E55" s="64" t="n"/>
      <c r="F55" s="62" t="n"/>
      <c r="G55" s="62" t="n"/>
      <c r="H55" s="65">
        <f>IF(COUNTA(B55:G55)=0,"",IF(B55="","⚠ нет даты",IF(C55="","⚠ нет категории",IF(NOT(ISNUMBER(E55)),"⚠ нет суммы",IF(E55&lt;=0,"⚠ сумма ≤ 0",IF(AND(Главная!$B$7&lt;&gt;"",B55&lt;Главная!$B$7),"⚠ дата до договора",IF(B55&gt;TODAY(),"ⓘ будущая дата","✓ ОК")))))))</f>
        <v/>
      </c>
      <c r="I55" s="66">
        <f>IF(COUNTA(B55:G55)=0,"",IF(D55&lt;&gt;"",D55,IF(B55="","",DATE(YEAR(B55),MONTH(B55),1))))</f>
        <v/>
      </c>
    </row>
    <row r="56" ht="22" customHeight="1">
      <c r="A56" s="60">
        <f>IF(B56="","",ROW()-6)</f>
        <v/>
      </c>
      <c r="B56" s="61" t="n"/>
      <c r="C56" s="62" t="n"/>
      <c r="D56" s="63" t="n"/>
      <c r="E56" s="64" t="n"/>
      <c r="F56" s="62" t="n"/>
      <c r="G56" s="62" t="n"/>
      <c r="H56" s="65">
        <f>IF(COUNTA(B56:G56)=0,"",IF(B56="","⚠ нет даты",IF(C56="","⚠ нет категории",IF(NOT(ISNUMBER(E56)),"⚠ нет суммы",IF(E56&lt;=0,"⚠ сумма ≤ 0",IF(AND(Главная!$B$7&lt;&gt;"",B56&lt;Главная!$B$7),"⚠ дата до договора",IF(B56&gt;TODAY(),"ⓘ будущая дата","✓ ОК")))))))</f>
        <v/>
      </c>
      <c r="I56" s="66">
        <f>IF(COUNTA(B56:G56)=0,"",IF(D56&lt;&gt;"",D56,IF(B56="","",DATE(YEAR(B56),MONTH(B56),1))))</f>
        <v/>
      </c>
    </row>
    <row r="57" ht="22" customHeight="1">
      <c r="A57" s="60">
        <f>IF(B57="","",ROW()-6)</f>
        <v/>
      </c>
      <c r="B57" s="61" t="n"/>
      <c r="C57" s="62" t="n"/>
      <c r="D57" s="63" t="n"/>
      <c r="E57" s="64" t="n"/>
      <c r="F57" s="62" t="n"/>
      <c r="G57" s="62" t="n"/>
      <c r="H57" s="65">
        <f>IF(COUNTA(B57:G57)=0,"",IF(B57="","⚠ нет даты",IF(C57="","⚠ нет категории",IF(NOT(ISNUMBER(E57)),"⚠ нет суммы",IF(E57&lt;=0,"⚠ сумма ≤ 0",IF(AND(Главная!$B$7&lt;&gt;"",B57&lt;Главная!$B$7),"⚠ дата до договора",IF(B57&gt;TODAY(),"ⓘ будущая дата","✓ ОК")))))))</f>
        <v/>
      </c>
      <c r="I57" s="66">
        <f>IF(COUNTA(B57:G57)=0,"",IF(D57&lt;&gt;"",D57,IF(B57="","",DATE(YEAR(B57),MONTH(B57),1))))</f>
        <v/>
      </c>
    </row>
    <row r="58" ht="22" customHeight="1">
      <c r="A58" s="60">
        <f>IF(B58="","",ROW()-6)</f>
        <v/>
      </c>
      <c r="B58" s="61" t="n"/>
      <c r="C58" s="62" t="n"/>
      <c r="D58" s="63" t="n"/>
      <c r="E58" s="64" t="n"/>
      <c r="F58" s="62" t="n"/>
      <c r="G58" s="62" t="n"/>
      <c r="H58" s="65">
        <f>IF(COUNTA(B58:G58)=0,"",IF(B58="","⚠ нет даты",IF(C58="","⚠ нет категории",IF(NOT(ISNUMBER(E58)),"⚠ нет суммы",IF(E58&lt;=0,"⚠ сумма ≤ 0",IF(AND(Главная!$B$7&lt;&gt;"",B58&lt;Главная!$B$7),"⚠ дата до договора",IF(B58&gt;TODAY(),"ⓘ будущая дата","✓ ОК")))))))</f>
        <v/>
      </c>
      <c r="I58" s="66">
        <f>IF(COUNTA(B58:G58)=0,"",IF(D58&lt;&gt;"",D58,IF(B58="","",DATE(YEAR(B58),MONTH(B58),1))))</f>
        <v/>
      </c>
    </row>
    <row r="59" ht="22" customHeight="1">
      <c r="A59" s="60">
        <f>IF(B59="","",ROW()-6)</f>
        <v/>
      </c>
      <c r="B59" s="61" t="n"/>
      <c r="C59" s="62" t="n"/>
      <c r="D59" s="63" t="n"/>
      <c r="E59" s="64" t="n"/>
      <c r="F59" s="62" t="n"/>
      <c r="G59" s="62" t="n"/>
      <c r="H59" s="65">
        <f>IF(COUNTA(B59:G59)=0,"",IF(B59="","⚠ нет даты",IF(C59="","⚠ нет категории",IF(NOT(ISNUMBER(E59)),"⚠ нет суммы",IF(E59&lt;=0,"⚠ сумма ≤ 0",IF(AND(Главная!$B$7&lt;&gt;"",B59&lt;Главная!$B$7),"⚠ дата до договора",IF(B59&gt;TODAY(),"ⓘ будущая дата","✓ ОК")))))))</f>
        <v/>
      </c>
      <c r="I59" s="66">
        <f>IF(COUNTA(B59:G59)=0,"",IF(D59&lt;&gt;"",D59,IF(B59="","",DATE(YEAR(B59),MONTH(B59),1))))</f>
        <v/>
      </c>
    </row>
    <row r="60" ht="22" customHeight="1">
      <c r="A60" s="60">
        <f>IF(B60="","",ROW()-6)</f>
        <v/>
      </c>
      <c r="B60" s="61" t="n"/>
      <c r="C60" s="62" t="n"/>
      <c r="D60" s="63" t="n"/>
      <c r="E60" s="64" t="n"/>
      <c r="F60" s="62" t="n"/>
      <c r="G60" s="62" t="n"/>
      <c r="H60" s="65">
        <f>IF(COUNTA(B60:G60)=0,"",IF(B60="","⚠ нет даты",IF(C60="","⚠ нет категории",IF(NOT(ISNUMBER(E60)),"⚠ нет суммы",IF(E60&lt;=0,"⚠ сумма ≤ 0",IF(AND(Главная!$B$7&lt;&gt;"",B60&lt;Главная!$B$7),"⚠ дата до договора",IF(B60&gt;TODAY(),"ⓘ будущая дата","✓ ОК")))))))</f>
        <v/>
      </c>
      <c r="I60" s="66">
        <f>IF(COUNTA(B60:G60)=0,"",IF(D60&lt;&gt;"",D60,IF(B60="","",DATE(YEAR(B60),MONTH(B60),1))))</f>
        <v/>
      </c>
    </row>
    <row r="61" ht="22" customHeight="1">
      <c r="A61" s="60">
        <f>IF(B61="","",ROW()-6)</f>
        <v/>
      </c>
      <c r="B61" s="61" t="n"/>
      <c r="C61" s="62" t="n"/>
      <c r="D61" s="63" t="n"/>
      <c r="E61" s="64" t="n"/>
      <c r="F61" s="62" t="n"/>
      <c r="G61" s="62" t="n"/>
      <c r="H61" s="65">
        <f>IF(COUNTA(B61:G61)=0,"",IF(B61="","⚠ нет даты",IF(C61="","⚠ нет категории",IF(NOT(ISNUMBER(E61)),"⚠ нет суммы",IF(E61&lt;=0,"⚠ сумма ≤ 0",IF(AND(Главная!$B$7&lt;&gt;"",B61&lt;Главная!$B$7),"⚠ дата до договора",IF(B61&gt;TODAY(),"ⓘ будущая дата","✓ ОК")))))))</f>
        <v/>
      </c>
      <c r="I61" s="66">
        <f>IF(COUNTA(B61:G61)=0,"",IF(D61&lt;&gt;"",D61,IF(B61="","",DATE(YEAR(B61),MONTH(B61),1))))</f>
        <v/>
      </c>
    </row>
    <row r="62" ht="22" customHeight="1">
      <c r="A62" s="60">
        <f>IF(B62="","",ROW()-6)</f>
        <v/>
      </c>
      <c r="B62" s="61" t="n"/>
      <c r="C62" s="62" t="n"/>
      <c r="D62" s="63" t="n"/>
      <c r="E62" s="64" t="n"/>
      <c r="F62" s="62" t="n"/>
      <c r="G62" s="62" t="n"/>
      <c r="H62" s="65">
        <f>IF(COUNTA(B62:G62)=0,"",IF(B62="","⚠ нет даты",IF(C62="","⚠ нет категории",IF(NOT(ISNUMBER(E62)),"⚠ нет суммы",IF(E62&lt;=0,"⚠ сумма ≤ 0",IF(AND(Главная!$B$7&lt;&gt;"",B62&lt;Главная!$B$7),"⚠ дата до договора",IF(B62&gt;TODAY(),"ⓘ будущая дата","✓ ОК")))))))</f>
        <v/>
      </c>
      <c r="I62" s="66">
        <f>IF(COUNTA(B62:G62)=0,"",IF(D62&lt;&gt;"",D62,IF(B62="","",DATE(YEAR(B62),MONTH(B62),1))))</f>
        <v/>
      </c>
    </row>
    <row r="63" ht="22" customHeight="1">
      <c r="A63" s="60">
        <f>IF(B63="","",ROW()-6)</f>
        <v/>
      </c>
      <c r="B63" s="61" t="n"/>
      <c r="C63" s="62" t="n"/>
      <c r="D63" s="63" t="n"/>
      <c r="E63" s="64" t="n"/>
      <c r="F63" s="62" t="n"/>
      <c r="G63" s="62" t="n"/>
      <c r="H63" s="65">
        <f>IF(COUNTA(B63:G63)=0,"",IF(B63="","⚠ нет даты",IF(C63="","⚠ нет категории",IF(NOT(ISNUMBER(E63)),"⚠ нет суммы",IF(E63&lt;=0,"⚠ сумма ≤ 0",IF(AND(Главная!$B$7&lt;&gt;"",B63&lt;Главная!$B$7),"⚠ дата до договора",IF(B63&gt;TODAY(),"ⓘ будущая дата","✓ ОК")))))))</f>
        <v/>
      </c>
      <c r="I63" s="66">
        <f>IF(COUNTA(B63:G63)=0,"",IF(D63&lt;&gt;"",D63,IF(B63="","",DATE(YEAR(B63),MONTH(B63),1))))</f>
        <v/>
      </c>
    </row>
    <row r="64" ht="22" customHeight="1">
      <c r="A64" s="60">
        <f>IF(B64="","",ROW()-6)</f>
        <v/>
      </c>
      <c r="B64" s="61" t="n"/>
      <c r="C64" s="62" t="n"/>
      <c r="D64" s="63" t="n"/>
      <c r="E64" s="64" t="n"/>
      <c r="F64" s="62" t="n"/>
      <c r="G64" s="62" t="n"/>
      <c r="H64" s="65">
        <f>IF(COUNTA(B64:G64)=0,"",IF(B64="","⚠ нет даты",IF(C64="","⚠ нет категории",IF(NOT(ISNUMBER(E64)),"⚠ нет суммы",IF(E64&lt;=0,"⚠ сумма ≤ 0",IF(AND(Главная!$B$7&lt;&gt;"",B64&lt;Главная!$B$7),"⚠ дата до договора",IF(B64&gt;TODAY(),"ⓘ будущая дата","✓ ОК")))))))</f>
        <v/>
      </c>
      <c r="I64" s="66">
        <f>IF(COUNTA(B64:G64)=0,"",IF(D64&lt;&gt;"",D64,IF(B64="","",DATE(YEAR(B64),MONTH(B64),1))))</f>
        <v/>
      </c>
    </row>
    <row r="65" ht="22" customHeight="1">
      <c r="A65" s="60">
        <f>IF(B65="","",ROW()-6)</f>
        <v/>
      </c>
      <c r="B65" s="61" t="n"/>
      <c r="C65" s="62" t="n"/>
      <c r="D65" s="63" t="n"/>
      <c r="E65" s="64" t="n"/>
      <c r="F65" s="62" t="n"/>
      <c r="G65" s="62" t="n"/>
      <c r="H65" s="65">
        <f>IF(COUNTA(B65:G65)=0,"",IF(B65="","⚠ нет даты",IF(C65="","⚠ нет категории",IF(NOT(ISNUMBER(E65)),"⚠ нет суммы",IF(E65&lt;=0,"⚠ сумма ≤ 0",IF(AND(Главная!$B$7&lt;&gt;"",B65&lt;Главная!$B$7),"⚠ дата до договора",IF(B65&gt;TODAY(),"ⓘ будущая дата","✓ ОК")))))))</f>
        <v/>
      </c>
      <c r="I65" s="66">
        <f>IF(COUNTA(B65:G65)=0,"",IF(D65&lt;&gt;"",D65,IF(B65="","",DATE(YEAR(B65),MONTH(B65),1))))</f>
        <v/>
      </c>
    </row>
    <row r="66" ht="22" customHeight="1">
      <c r="A66" s="60">
        <f>IF(B66="","",ROW()-6)</f>
        <v/>
      </c>
      <c r="B66" s="61" t="n"/>
      <c r="C66" s="62" t="n"/>
      <c r="D66" s="63" t="n"/>
      <c r="E66" s="64" t="n"/>
      <c r="F66" s="62" t="n"/>
      <c r="G66" s="62" t="n"/>
      <c r="H66" s="65">
        <f>IF(COUNTA(B66:G66)=0,"",IF(B66="","⚠ нет даты",IF(C66="","⚠ нет категории",IF(NOT(ISNUMBER(E66)),"⚠ нет суммы",IF(E66&lt;=0,"⚠ сумма ≤ 0",IF(AND(Главная!$B$7&lt;&gt;"",B66&lt;Главная!$B$7),"⚠ дата до договора",IF(B66&gt;TODAY(),"ⓘ будущая дата","✓ ОК")))))))</f>
        <v/>
      </c>
      <c r="I66" s="66">
        <f>IF(COUNTA(B66:G66)=0,"",IF(D66&lt;&gt;"",D66,IF(B66="","",DATE(YEAR(B66),MONTH(B66),1))))</f>
        <v/>
      </c>
    </row>
    <row r="67" ht="22" customHeight="1">
      <c r="A67" s="60">
        <f>IF(B67="","",ROW()-6)</f>
        <v/>
      </c>
      <c r="B67" s="61" t="n"/>
      <c r="C67" s="62" t="n"/>
      <c r="D67" s="63" t="n"/>
      <c r="E67" s="64" t="n"/>
      <c r="F67" s="62" t="n"/>
      <c r="G67" s="62" t="n"/>
      <c r="H67" s="65">
        <f>IF(COUNTA(B67:G67)=0,"",IF(B67="","⚠ нет даты",IF(C67="","⚠ нет категории",IF(NOT(ISNUMBER(E67)),"⚠ нет суммы",IF(E67&lt;=0,"⚠ сумма ≤ 0",IF(AND(Главная!$B$7&lt;&gt;"",B67&lt;Главная!$B$7),"⚠ дата до договора",IF(B67&gt;TODAY(),"ⓘ будущая дата","✓ ОК")))))))</f>
        <v/>
      </c>
      <c r="I67" s="66">
        <f>IF(COUNTA(B67:G67)=0,"",IF(D67&lt;&gt;"",D67,IF(B67="","",DATE(YEAR(B67),MONTH(B67),1))))</f>
        <v/>
      </c>
    </row>
    <row r="68" ht="22" customHeight="1">
      <c r="A68" s="60">
        <f>IF(B68="","",ROW()-6)</f>
        <v/>
      </c>
      <c r="B68" s="61" t="n"/>
      <c r="C68" s="62" t="n"/>
      <c r="D68" s="63" t="n"/>
      <c r="E68" s="64" t="n"/>
      <c r="F68" s="62" t="n"/>
      <c r="G68" s="62" t="n"/>
      <c r="H68" s="65">
        <f>IF(COUNTA(B68:G68)=0,"",IF(B68="","⚠ нет даты",IF(C68="","⚠ нет категории",IF(NOT(ISNUMBER(E68)),"⚠ нет суммы",IF(E68&lt;=0,"⚠ сумма ≤ 0",IF(AND(Главная!$B$7&lt;&gt;"",B68&lt;Главная!$B$7),"⚠ дата до договора",IF(B68&gt;TODAY(),"ⓘ будущая дата","✓ ОК")))))))</f>
        <v/>
      </c>
      <c r="I68" s="66">
        <f>IF(COUNTA(B68:G68)=0,"",IF(D68&lt;&gt;"",D68,IF(B68="","",DATE(YEAR(B68),MONTH(B68),1))))</f>
        <v/>
      </c>
    </row>
    <row r="69" ht="22" customHeight="1">
      <c r="A69" s="60">
        <f>IF(B69="","",ROW()-6)</f>
        <v/>
      </c>
      <c r="B69" s="61" t="n"/>
      <c r="C69" s="62" t="n"/>
      <c r="D69" s="63" t="n"/>
      <c r="E69" s="64" t="n"/>
      <c r="F69" s="62" t="n"/>
      <c r="G69" s="62" t="n"/>
      <c r="H69" s="65">
        <f>IF(COUNTA(B69:G69)=0,"",IF(B69="","⚠ нет даты",IF(C69="","⚠ нет категории",IF(NOT(ISNUMBER(E69)),"⚠ нет суммы",IF(E69&lt;=0,"⚠ сумма ≤ 0",IF(AND(Главная!$B$7&lt;&gt;"",B69&lt;Главная!$B$7),"⚠ дата до договора",IF(B69&gt;TODAY(),"ⓘ будущая дата","✓ ОК")))))))</f>
        <v/>
      </c>
      <c r="I69" s="66">
        <f>IF(COUNTA(B69:G69)=0,"",IF(D69&lt;&gt;"",D69,IF(B69="","",DATE(YEAR(B69),MONTH(B69),1))))</f>
        <v/>
      </c>
    </row>
    <row r="70" ht="22" customHeight="1">
      <c r="A70" s="60">
        <f>IF(B70="","",ROW()-6)</f>
        <v/>
      </c>
      <c r="B70" s="61" t="n"/>
      <c r="C70" s="62" t="n"/>
      <c r="D70" s="63" t="n"/>
      <c r="E70" s="64" t="n"/>
      <c r="F70" s="62" t="n"/>
      <c r="G70" s="62" t="n"/>
      <c r="H70" s="65">
        <f>IF(COUNTA(B70:G70)=0,"",IF(B70="","⚠ нет даты",IF(C70="","⚠ нет категории",IF(NOT(ISNUMBER(E70)),"⚠ нет суммы",IF(E70&lt;=0,"⚠ сумма ≤ 0",IF(AND(Главная!$B$7&lt;&gt;"",B70&lt;Главная!$B$7),"⚠ дата до договора",IF(B70&gt;TODAY(),"ⓘ будущая дата","✓ ОК")))))))</f>
        <v/>
      </c>
      <c r="I70" s="66">
        <f>IF(COUNTA(B70:G70)=0,"",IF(D70&lt;&gt;"",D70,IF(B70="","",DATE(YEAR(B70),MONTH(B70),1))))</f>
        <v/>
      </c>
    </row>
    <row r="71" ht="22" customHeight="1">
      <c r="A71" s="60">
        <f>IF(B71="","",ROW()-6)</f>
        <v/>
      </c>
      <c r="B71" s="61" t="n"/>
      <c r="C71" s="62" t="n"/>
      <c r="D71" s="63" t="n"/>
      <c r="E71" s="64" t="n"/>
      <c r="F71" s="62" t="n"/>
      <c r="G71" s="62" t="n"/>
      <c r="H71" s="65">
        <f>IF(COUNTA(B71:G71)=0,"",IF(B71="","⚠ нет даты",IF(C71="","⚠ нет категории",IF(NOT(ISNUMBER(E71)),"⚠ нет суммы",IF(E71&lt;=0,"⚠ сумма ≤ 0",IF(AND(Главная!$B$7&lt;&gt;"",B71&lt;Главная!$B$7),"⚠ дата до договора",IF(B71&gt;TODAY(),"ⓘ будущая дата","✓ ОК")))))))</f>
        <v/>
      </c>
      <c r="I71" s="66">
        <f>IF(COUNTA(B71:G71)=0,"",IF(D71&lt;&gt;"",D71,IF(B71="","",DATE(YEAR(B71),MONTH(B71),1))))</f>
        <v/>
      </c>
    </row>
    <row r="72" ht="22" customHeight="1">
      <c r="A72" s="60">
        <f>IF(B72="","",ROW()-6)</f>
        <v/>
      </c>
      <c r="B72" s="61" t="n"/>
      <c r="C72" s="62" t="n"/>
      <c r="D72" s="63" t="n"/>
      <c r="E72" s="64" t="n"/>
      <c r="F72" s="62" t="n"/>
      <c r="G72" s="62" t="n"/>
      <c r="H72" s="65">
        <f>IF(COUNTA(B72:G72)=0,"",IF(B72="","⚠ нет даты",IF(C72="","⚠ нет категории",IF(NOT(ISNUMBER(E72)),"⚠ нет суммы",IF(E72&lt;=0,"⚠ сумма ≤ 0",IF(AND(Главная!$B$7&lt;&gt;"",B72&lt;Главная!$B$7),"⚠ дата до договора",IF(B72&gt;TODAY(),"ⓘ будущая дата","✓ ОК")))))))</f>
        <v/>
      </c>
      <c r="I72" s="66">
        <f>IF(COUNTA(B72:G72)=0,"",IF(D72&lt;&gt;"",D72,IF(B72="","",DATE(YEAR(B72),MONTH(B72),1))))</f>
        <v/>
      </c>
    </row>
    <row r="73" ht="22" customHeight="1">
      <c r="A73" s="60">
        <f>IF(B73="","",ROW()-6)</f>
        <v/>
      </c>
      <c r="B73" s="61" t="n"/>
      <c r="C73" s="62" t="n"/>
      <c r="D73" s="63" t="n"/>
      <c r="E73" s="64" t="n"/>
      <c r="F73" s="62" t="n"/>
      <c r="G73" s="62" t="n"/>
      <c r="H73" s="65">
        <f>IF(COUNTA(B73:G73)=0,"",IF(B73="","⚠ нет даты",IF(C73="","⚠ нет категории",IF(NOT(ISNUMBER(E73)),"⚠ нет суммы",IF(E73&lt;=0,"⚠ сумма ≤ 0",IF(AND(Главная!$B$7&lt;&gt;"",B73&lt;Главная!$B$7),"⚠ дата до договора",IF(B73&gt;TODAY(),"ⓘ будущая дата","✓ ОК")))))))</f>
        <v/>
      </c>
      <c r="I73" s="66">
        <f>IF(COUNTA(B73:G73)=0,"",IF(D73&lt;&gt;"",D73,IF(B73="","",DATE(YEAR(B73),MONTH(B73),1))))</f>
        <v/>
      </c>
    </row>
    <row r="74" ht="22" customHeight="1">
      <c r="A74" s="60">
        <f>IF(B74="","",ROW()-6)</f>
        <v/>
      </c>
      <c r="B74" s="61" t="n"/>
      <c r="C74" s="62" t="n"/>
      <c r="D74" s="63" t="n"/>
      <c r="E74" s="64" t="n"/>
      <c r="F74" s="62" t="n"/>
      <c r="G74" s="62" t="n"/>
      <c r="H74" s="65">
        <f>IF(COUNTA(B74:G74)=0,"",IF(B74="","⚠ нет даты",IF(C74="","⚠ нет категории",IF(NOT(ISNUMBER(E74)),"⚠ нет суммы",IF(E74&lt;=0,"⚠ сумма ≤ 0",IF(AND(Главная!$B$7&lt;&gt;"",B74&lt;Главная!$B$7),"⚠ дата до договора",IF(B74&gt;TODAY(),"ⓘ будущая дата","✓ ОК")))))))</f>
        <v/>
      </c>
      <c r="I74" s="66">
        <f>IF(COUNTA(B74:G74)=0,"",IF(D74&lt;&gt;"",D74,IF(B74="","",DATE(YEAR(B74),MONTH(B74),1))))</f>
        <v/>
      </c>
    </row>
    <row r="75" ht="22" customHeight="1">
      <c r="A75" s="60">
        <f>IF(B75="","",ROW()-6)</f>
        <v/>
      </c>
      <c r="B75" s="61" t="n"/>
      <c r="C75" s="62" t="n"/>
      <c r="D75" s="63" t="n"/>
      <c r="E75" s="64" t="n"/>
      <c r="F75" s="62" t="n"/>
      <c r="G75" s="62" t="n"/>
      <c r="H75" s="65">
        <f>IF(COUNTA(B75:G75)=0,"",IF(B75="","⚠ нет даты",IF(C75="","⚠ нет категории",IF(NOT(ISNUMBER(E75)),"⚠ нет суммы",IF(E75&lt;=0,"⚠ сумма ≤ 0",IF(AND(Главная!$B$7&lt;&gt;"",B75&lt;Главная!$B$7),"⚠ дата до договора",IF(B75&gt;TODAY(),"ⓘ будущая дата","✓ ОК")))))))</f>
        <v/>
      </c>
      <c r="I75" s="66">
        <f>IF(COUNTA(B75:G75)=0,"",IF(D75&lt;&gt;"",D75,IF(B75="","",DATE(YEAR(B75),MONTH(B75),1))))</f>
        <v/>
      </c>
    </row>
    <row r="76" ht="22" customHeight="1">
      <c r="A76" s="60">
        <f>IF(B76="","",ROW()-6)</f>
        <v/>
      </c>
      <c r="B76" s="61" t="n"/>
      <c r="C76" s="62" t="n"/>
      <c r="D76" s="63" t="n"/>
      <c r="E76" s="64" t="n"/>
      <c r="F76" s="62" t="n"/>
      <c r="G76" s="62" t="n"/>
      <c r="H76" s="65">
        <f>IF(COUNTA(B76:G76)=0,"",IF(B76="","⚠ нет даты",IF(C76="","⚠ нет категории",IF(NOT(ISNUMBER(E76)),"⚠ нет суммы",IF(E76&lt;=0,"⚠ сумма ≤ 0",IF(AND(Главная!$B$7&lt;&gt;"",B76&lt;Главная!$B$7),"⚠ дата до договора",IF(B76&gt;TODAY(),"ⓘ будущая дата","✓ ОК")))))))</f>
        <v/>
      </c>
      <c r="I76" s="66">
        <f>IF(COUNTA(B76:G76)=0,"",IF(D76&lt;&gt;"",D76,IF(B76="","",DATE(YEAR(B76),MONTH(B76),1))))</f>
        <v/>
      </c>
    </row>
    <row r="77" ht="22" customHeight="1">
      <c r="A77" s="60">
        <f>IF(B77="","",ROW()-6)</f>
        <v/>
      </c>
      <c r="B77" s="61" t="n"/>
      <c r="C77" s="62" t="n"/>
      <c r="D77" s="63" t="n"/>
      <c r="E77" s="64" t="n"/>
      <c r="F77" s="62" t="n"/>
      <c r="G77" s="62" t="n"/>
      <c r="H77" s="65">
        <f>IF(COUNTA(B77:G77)=0,"",IF(B77="","⚠ нет даты",IF(C77="","⚠ нет категории",IF(NOT(ISNUMBER(E77)),"⚠ нет суммы",IF(E77&lt;=0,"⚠ сумма ≤ 0",IF(AND(Главная!$B$7&lt;&gt;"",B77&lt;Главная!$B$7),"⚠ дата до договора",IF(B77&gt;TODAY(),"ⓘ будущая дата","✓ ОК")))))))</f>
        <v/>
      </c>
      <c r="I77" s="66">
        <f>IF(COUNTA(B77:G77)=0,"",IF(D77&lt;&gt;"",D77,IF(B77="","",DATE(YEAR(B77),MONTH(B77),1))))</f>
        <v/>
      </c>
    </row>
    <row r="78" ht="22" customHeight="1">
      <c r="A78" s="60">
        <f>IF(B78="","",ROW()-6)</f>
        <v/>
      </c>
      <c r="B78" s="61" t="n"/>
      <c r="C78" s="62" t="n"/>
      <c r="D78" s="63" t="n"/>
      <c r="E78" s="64" t="n"/>
      <c r="F78" s="62" t="n"/>
      <c r="G78" s="62" t="n"/>
      <c r="H78" s="65">
        <f>IF(COUNTA(B78:G78)=0,"",IF(B78="","⚠ нет даты",IF(C78="","⚠ нет категории",IF(NOT(ISNUMBER(E78)),"⚠ нет суммы",IF(E78&lt;=0,"⚠ сумма ≤ 0",IF(AND(Главная!$B$7&lt;&gt;"",B78&lt;Главная!$B$7),"⚠ дата до договора",IF(B78&gt;TODAY(),"ⓘ будущая дата","✓ ОК")))))))</f>
        <v/>
      </c>
      <c r="I78" s="66">
        <f>IF(COUNTA(B78:G78)=0,"",IF(D78&lt;&gt;"",D78,IF(B78="","",DATE(YEAR(B78),MONTH(B78),1))))</f>
        <v/>
      </c>
    </row>
    <row r="79" ht="22" customHeight="1">
      <c r="A79" s="60">
        <f>IF(B79="","",ROW()-6)</f>
        <v/>
      </c>
      <c r="B79" s="61" t="n"/>
      <c r="C79" s="62" t="n"/>
      <c r="D79" s="63" t="n"/>
      <c r="E79" s="64" t="n"/>
      <c r="F79" s="62" t="n"/>
      <c r="G79" s="62" t="n"/>
      <c r="H79" s="65">
        <f>IF(COUNTA(B79:G79)=0,"",IF(B79="","⚠ нет даты",IF(C79="","⚠ нет категории",IF(NOT(ISNUMBER(E79)),"⚠ нет суммы",IF(E79&lt;=0,"⚠ сумма ≤ 0",IF(AND(Главная!$B$7&lt;&gt;"",B79&lt;Главная!$B$7),"⚠ дата до договора",IF(B79&gt;TODAY(),"ⓘ будущая дата","✓ ОК")))))))</f>
        <v/>
      </c>
      <c r="I79" s="66">
        <f>IF(COUNTA(B79:G79)=0,"",IF(D79&lt;&gt;"",D79,IF(B79="","",DATE(YEAR(B79),MONTH(B79),1))))</f>
        <v/>
      </c>
    </row>
    <row r="80" ht="22" customHeight="1">
      <c r="A80" s="60">
        <f>IF(B80="","",ROW()-6)</f>
        <v/>
      </c>
      <c r="B80" s="61" t="n"/>
      <c r="C80" s="62" t="n"/>
      <c r="D80" s="63" t="n"/>
      <c r="E80" s="64" t="n"/>
      <c r="F80" s="62" t="n"/>
      <c r="G80" s="62" t="n"/>
      <c r="H80" s="65">
        <f>IF(COUNTA(B80:G80)=0,"",IF(B80="","⚠ нет даты",IF(C80="","⚠ нет категории",IF(NOT(ISNUMBER(E80)),"⚠ нет суммы",IF(E80&lt;=0,"⚠ сумма ≤ 0",IF(AND(Главная!$B$7&lt;&gt;"",B80&lt;Главная!$B$7),"⚠ дата до договора",IF(B80&gt;TODAY(),"ⓘ будущая дата","✓ ОК")))))))</f>
        <v/>
      </c>
      <c r="I80" s="66">
        <f>IF(COUNTA(B80:G80)=0,"",IF(D80&lt;&gt;"",D80,IF(B80="","",DATE(YEAR(B80),MONTH(B80),1))))</f>
        <v/>
      </c>
    </row>
    <row r="81" ht="22" customHeight="1">
      <c r="A81" s="60">
        <f>IF(B81="","",ROW()-6)</f>
        <v/>
      </c>
      <c r="B81" s="61" t="n"/>
      <c r="C81" s="62" t="n"/>
      <c r="D81" s="63" t="n"/>
      <c r="E81" s="64" t="n"/>
      <c r="F81" s="62" t="n"/>
      <c r="G81" s="62" t="n"/>
      <c r="H81" s="65">
        <f>IF(COUNTA(B81:G81)=0,"",IF(B81="","⚠ нет даты",IF(C81="","⚠ нет категории",IF(NOT(ISNUMBER(E81)),"⚠ нет суммы",IF(E81&lt;=0,"⚠ сумма ≤ 0",IF(AND(Главная!$B$7&lt;&gt;"",B81&lt;Главная!$B$7),"⚠ дата до договора",IF(B81&gt;TODAY(),"ⓘ будущая дата","✓ ОК")))))))</f>
        <v/>
      </c>
      <c r="I81" s="66">
        <f>IF(COUNTA(B81:G81)=0,"",IF(D81&lt;&gt;"",D81,IF(B81="","",DATE(YEAR(B81),MONTH(B81),1))))</f>
        <v/>
      </c>
    </row>
    <row r="82" ht="22" customHeight="1">
      <c r="A82" s="60">
        <f>IF(B82="","",ROW()-6)</f>
        <v/>
      </c>
      <c r="B82" s="61" t="n"/>
      <c r="C82" s="62" t="n"/>
      <c r="D82" s="63" t="n"/>
      <c r="E82" s="64" t="n"/>
      <c r="F82" s="62" t="n"/>
      <c r="G82" s="62" t="n"/>
      <c r="H82" s="65">
        <f>IF(COUNTA(B82:G82)=0,"",IF(B82="","⚠ нет даты",IF(C82="","⚠ нет категории",IF(NOT(ISNUMBER(E82)),"⚠ нет суммы",IF(E82&lt;=0,"⚠ сумма ≤ 0",IF(AND(Главная!$B$7&lt;&gt;"",B82&lt;Главная!$B$7),"⚠ дата до договора",IF(B82&gt;TODAY(),"ⓘ будущая дата","✓ ОК")))))))</f>
        <v/>
      </c>
      <c r="I82" s="66">
        <f>IF(COUNTA(B82:G82)=0,"",IF(D82&lt;&gt;"",D82,IF(B82="","",DATE(YEAR(B82),MONTH(B82),1))))</f>
        <v/>
      </c>
    </row>
    <row r="83" ht="22" customHeight="1">
      <c r="A83" s="60">
        <f>IF(B83="","",ROW()-6)</f>
        <v/>
      </c>
      <c r="B83" s="61" t="n"/>
      <c r="C83" s="62" t="n"/>
      <c r="D83" s="63" t="n"/>
      <c r="E83" s="64" t="n"/>
      <c r="F83" s="62" t="n"/>
      <c r="G83" s="62" t="n"/>
      <c r="H83" s="65">
        <f>IF(COUNTA(B83:G83)=0,"",IF(B83="","⚠ нет даты",IF(C83="","⚠ нет категории",IF(NOT(ISNUMBER(E83)),"⚠ нет суммы",IF(E83&lt;=0,"⚠ сумма ≤ 0",IF(AND(Главная!$B$7&lt;&gt;"",B83&lt;Главная!$B$7),"⚠ дата до договора",IF(B83&gt;TODAY(),"ⓘ будущая дата","✓ ОК")))))))</f>
        <v/>
      </c>
      <c r="I83" s="66">
        <f>IF(COUNTA(B83:G83)=0,"",IF(D83&lt;&gt;"",D83,IF(B83="","",DATE(YEAR(B83),MONTH(B83),1))))</f>
        <v/>
      </c>
    </row>
    <row r="84" ht="22" customHeight="1">
      <c r="A84" s="60">
        <f>IF(B84="","",ROW()-6)</f>
        <v/>
      </c>
      <c r="B84" s="61" t="n"/>
      <c r="C84" s="62" t="n"/>
      <c r="D84" s="63" t="n"/>
      <c r="E84" s="64" t="n"/>
      <c r="F84" s="62" t="n"/>
      <c r="G84" s="62" t="n"/>
      <c r="H84" s="65">
        <f>IF(COUNTA(B84:G84)=0,"",IF(B84="","⚠ нет даты",IF(C84="","⚠ нет категории",IF(NOT(ISNUMBER(E84)),"⚠ нет суммы",IF(E84&lt;=0,"⚠ сумма ≤ 0",IF(AND(Главная!$B$7&lt;&gt;"",B84&lt;Главная!$B$7),"⚠ дата до договора",IF(B84&gt;TODAY(),"ⓘ будущая дата","✓ ОК")))))))</f>
        <v/>
      </c>
      <c r="I84" s="66">
        <f>IF(COUNTA(B84:G84)=0,"",IF(D84&lt;&gt;"",D84,IF(B84="","",DATE(YEAR(B84),MONTH(B84),1))))</f>
        <v/>
      </c>
    </row>
    <row r="85" ht="22" customHeight="1">
      <c r="A85" s="60">
        <f>IF(B85="","",ROW()-6)</f>
        <v/>
      </c>
      <c r="B85" s="61" t="n"/>
      <c r="C85" s="62" t="n"/>
      <c r="D85" s="63" t="n"/>
      <c r="E85" s="64" t="n"/>
      <c r="F85" s="62" t="n"/>
      <c r="G85" s="62" t="n"/>
      <c r="H85" s="65">
        <f>IF(COUNTA(B85:G85)=0,"",IF(B85="","⚠ нет даты",IF(C85="","⚠ нет категории",IF(NOT(ISNUMBER(E85)),"⚠ нет суммы",IF(E85&lt;=0,"⚠ сумма ≤ 0",IF(AND(Главная!$B$7&lt;&gt;"",B85&lt;Главная!$B$7),"⚠ дата до договора",IF(B85&gt;TODAY(),"ⓘ будущая дата","✓ ОК")))))))</f>
        <v/>
      </c>
      <c r="I85" s="66">
        <f>IF(COUNTA(B85:G85)=0,"",IF(D85&lt;&gt;"",D85,IF(B85="","",DATE(YEAR(B85),MONTH(B85),1))))</f>
        <v/>
      </c>
    </row>
    <row r="86" ht="22" customHeight="1">
      <c r="A86" s="60">
        <f>IF(B86="","",ROW()-6)</f>
        <v/>
      </c>
      <c r="B86" s="61" t="n"/>
      <c r="C86" s="62" t="n"/>
      <c r="D86" s="63" t="n"/>
      <c r="E86" s="64" t="n"/>
      <c r="F86" s="62" t="n"/>
      <c r="G86" s="62" t="n"/>
      <c r="H86" s="65">
        <f>IF(COUNTA(B86:G86)=0,"",IF(B86="","⚠ нет даты",IF(C86="","⚠ нет категории",IF(NOT(ISNUMBER(E86)),"⚠ нет суммы",IF(E86&lt;=0,"⚠ сумма ≤ 0",IF(AND(Главная!$B$7&lt;&gt;"",B86&lt;Главная!$B$7),"⚠ дата до договора",IF(B86&gt;TODAY(),"ⓘ будущая дата","✓ ОК")))))))</f>
        <v/>
      </c>
      <c r="I86" s="66">
        <f>IF(COUNTA(B86:G86)=0,"",IF(D86&lt;&gt;"",D86,IF(B86="","",DATE(YEAR(B86),MONTH(B86),1))))</f>
        <v/>
      </c>
    </row>
    <row r="87" ht="22" customHeight="1">
      <c r="A87" s="60">
        <f>IF(B87="","",ROW()-6)</f>
        <v/>
      </c>
      <c r="B87" s="61" t="n"/>
      <c r="C87" s="62" t="n"/>
      <c r="D87" s="63" t="n"/>
      <c r="E87" s="64" t="n"/>
      <c r="F87" s="62" t="n"/>
      <c r="G87" s="62" t="n"/>
      <c r="H87" s="65">
        <f>IF(COUNTA(B87:G87)=0,"",IF(B87="","⚠ нет даты",IF(C87="","⚠ нет категории",IF(NOT(ISNUMBER(E87)),"⚠ нет суммы",IF(E87&lt;=0,"⚠ сумма ≤ 0",IF(AND(Главная!$B$7&lt;&gt;"",B87&lt;Главная!$B$7),"⚠ дата до договора",IF(B87&gt;TODAY(),"ⓘ будущая дата","✓ ОК")))))))</f>
        <v/>
      </c>
      <c r="I87" s="66">
        <f>IF(COUNTA(B87:G87)=0,"",IF(D87&lt;&gt;"",D87,IF(B87="","",DATE(YEAR(B87),MONTH(B87),1))))</f>
        <v/>
      </c>
    </row>
    <row r="88" ht="22" customHeight="1">
      <c r="A88" s="60">
        <f>IF(B88="","",ROW()-6)</f>
        <v/>
      </c>
      <c r="B88" s="61" t="n"/>
      <c r="C88" s="62" t="n"/>
      <c r="D88" s="63" t="n"/>
      <c r="E88" s="64" t="n"/>
      <c r="F88" s="62" t="n"/>
      <c r="G88" s="62" t="n"/>
      <c r="H88" s="65">
        <f>IF(COUNTA(B88:G88)=0,"",IF(B88="","⚠ нет даты",IF(C88="","⚠ нет категории",IF(NOT(ISNUMBER(E88)),"⚠ нет суммы",IF(E88&lt;=0,"⚠ сумма ≤ 0",IF(AND(Главная!$B$7&lt;&gt;"",B88&lt;Главная!$B$7),"⚠ дата до договора",IF(B88&gt;TODAY(),"ⓘ будущая дата","✓ ОК")))))))</f>
        <v/>
      </c>
      <c r="I88" s="66">
        <f>IF(COUNTA(B88:G88)=0,"",IF(D88&lt;&gt;"",D88,IF(B88="","",DATE(YEAR(B88),MONTH(B88),1))))</f>
        <v/>
      </c>
    </row>
    <row r="89" ht="22" customHeight="1">
      <c r="A89" s="60">
        <f>IF(B89="","",ROW()-6)</f>
        <v/>
      </c>
      <c r="B89" s="61" t="n"/>
      <c r="C89" s="62" t="n"/>
      <c r="D89" s="63" t="n"/>
      <c r="E89" s="64" t="n"/>
      <c r="F89" s="62" t="n"/>
      <c r="G89" s="62" t="n"/>
      <c r="H89" s="65">
        <f>IF(COUNTA(B89:G89)=0,"",IF(B89="","⚠ нет даты",IF(C89="","⚠ нет категории",IF(NOT(ISNUMBER(E89)),"⚠ нет суммы",IF(E89&lt;=0,"⚠ сумма ≤ 0",IF(AND(Главная!$B$7&lt;&gt;"",B89&lt;Главная!$B$7),"⚠ дата до договора",IF(B89&gt;TODAY(),"ⓘ будущая дата","✓ ОК")))))))</f>
        <v/>
      </c>
      <c r="I89" s="66">
        <f>IF(COUNTA(B89:G89)=0,"",IF(D89&lt;&gt;"",D89,IF(B89="","",DATE(YEAR(B89),MONTH(B89),1))))</f>
        <v/>
      </c>
    </row>
    <row r="90" ht="22" customHeight="1">
      <c r="A90" s="60">
        <f>IF(B90="","",ROW()-6)</f>
        <v/>
      </c>
      <c r="B90" s="61" t="n"/>
      <c r="C90" s="62" t="n"/>
      <c r="D90" s="63" t="n"/>
      <c r="E90" s="64" t="n"/>
      <c r="F90" s="62" t="n"/>
      <c r="G90" s="62" t="n"/>
      <c r="H90" s="65">
        <f>IF(COUNTA(B90:G90)=0,"",IF(B90="","⚠ нет даты",IF(C90="","⚠ нет категории",IF(NOT(ISNUMBER(E90)),"⚠ нет суммы",IF(E90&lt;=0,"⚠ сумма ≤ 0",IF(AND(Главная!$B$7&lt;&gt;"",B90&lt;Главная!$B$7),"⚠ дата до договора",IF(B90&gt;TODAY(),"ⓘ будущая дата","✓ ОК")))))))</f>
        <v/>
      </c>
      <c r="I90" s="66">
        <f>IF(COUNTA(B90:G90)=0,"",IF(D90&lt;&gt;"",D90,IF(B90="","",DATE(YEAR(B90),MONTH(B90),1))))</f>
        <v/>
      </c>
    </row>
    <row r="91" ht="22" customHeight="1">
      <c r="A91" s="60">
        <f>IF(B91="","",ROW()-6)</f>
        <v/>
      </c>
      <c r="B91" s="61" t="n"/>
      <c r="C91" s="62" t="n"/>
      <c r="D91" s="63" t="n"/>
      <c r="E91" s="64" t="n"/>
      <c r="F91" s="62" t="n"/>
      <c r="G91" s="62" t="n"/>
      <c r="H91" s="65">
        <f>IF(COUNTA(B91:G91)=0,"",IF(B91="","⚠ нет даты",IF(C91="","⚠ нет категории",IF(NOT(ISNUMBER(E91)),"⚠ нет суммы",IF(E91&lt;=0,"⚠ сумма ≤ 0",IF(AND(Главная!$B$7&lt;&gt;"",B91&lt;Главная!$B$7),"⚠ дата до договора",IF(B91&gt;TODAY(),"ⓘ будущая дата","✓ ОК")))))))</f>
        <v/>
      </c>
      <c r="I91" s="66">
        <f>IF(COUNTA(B91:G91)=0,"",IF(D91&lt;&gt;"",D91,IF(B91="","",DATE(YEAR(B91),MONTH(B91),1))))</f>
        <v/>
      </c>
    </row>
    <row r="92" ht="22" customHeight="1">
      <c r="A92" s="60">
        <f>IF(B92="","",ROW()-6)</f>
        <v/>
      </c>
      <c r="B92" s="61" t="n"/>
      <c r="C92" s="62" t="n"/>
      <c r="D92" s="63" t="n"/>
      <c r="E92" s="64" t="n"/>
      <c r="F92" s="62" t="n"/>
      <c r="G92" s="62" t="n"/>
      <c r="H92" s="65">
        <f>IF(COUNTA(B92:G92)=0,"",IF(B92="","⚠ нет даты",IF(C92="","⚠ нет категории",IF(NOT(ISNUMBER(E92)),"⚠ нет суммы",IF(E92&lt;=0,"⚠ сумма ≤ 0",IF(AND(Главная!$B$7&lt;&gt;"",B92&lt;Главная!$B$7),"⚠ дата до договора",IF(B92&gt;TODAY(),"ⓘ будущая дата","✓ ОК")))))))</f>
        <v/>
      </c>
      <c r="I92" s="66">
        <f>IF(COUNTA(B92:G92)=0,"",IF(D92&lt;&gt;"",D92,IF(B92="","",DATE(YEAR(B92),MONTH(B92),1))))</f>
        <v/>
      </c>
    </row>
    <row r="93" ht="22" customHeight="1">
      <c r="A93" s="60">
        <f>IF(B93="","",ROW()-6)</f>
        <v/>
      </c>
      <c r="B93" s="61" t="n"/>
      <c r="C93" s="62" t="n"/>
      <c r="D93" s="63" t="n"/>
      <c r="E93" s="64" t="n"/>
      <c r="F93" s="62" t="n"/>
      <c r="G93" s="62" t="n"/>
      <c r="H93" s="65">
        <f>IF(COUNTA(B93:G93)=0,"",IF(B93="","⚠ нет даты",IF(C93="","⚠ нет категории",IF(NOT(ISNUMBER(E93)),"⚠ нет суммы",IF(E93&lt;=0,"⚠ сумма ≤ 0",IF(AND(Главная!$B$7&lt;&gt;"",B93&lt;Главная!$B$7),"⚠ дата до договора",IF(B93&gt;TODAY(),"ⓘ будущая дата","✓ ОК")))))))</f>
        <v/>
      </c>
      <c r="I93" s="66">
        <f>IF(COUNTA(B93:G93)=0,"",IF(D93&lt;&gt;"",D93,IF(B93="","",DATE(YEAR(B93),MONTH(B93),1))))</f>
        <v/>
      </c>
    </row>
    <row r="94" ht="22" customHeight="1">
      <c r="A94" s="60">
        <f>IF(B94="","",ROW()-6)</f>
        <v/>
      </c>
      <c r="B94" s="61" t="n"/>
      <c r="C94" s="62" t="n"/>
      <c r="D94" s="63" t="n"/>
      <c r="E94" s="64" t="n"/>
      <c r="F94" s="62" t="n"/>
      <c r="G94" s="62" t="n"/>
      <c r="H94" s="65">
        <f>IF(COUNTA(B94:G94)=0,"",IF(B94="","⚠ нет даты",IF(C94="","⚠ нет категории",IF(NOT(ISNUMBER(E94)),"⚠ нет суммы",IF(E94&lt;=0,"⚠ сумма ≤ 0",IF(AND(Главная!$B$7&lt;&gt;"",B94&lt;Главная!$B$7),"⚠ дата до договора",IF(B94&gt;TODAY(),"ⓘ будущая дата","✓ ОК")))))))</f>
        <v/>
      </c>
      <c r="I94" s="66">
        <f>IF(COUNTA(B94:G94)=0,"",IF(D94&lt;&gt;"",D94,IF(B94="","",DATE(YEAR(B94),MONTH(B94),1))))</f>
        <v/>
      </c>
    </row>
    <row r="95" ht="22" customHeight="1">
      <c r="A95" s="60">
        <f>IF(B95="","",ROW()-6)</f>
        <v/>
      </c>
      <c r="B95" s="61" t="n"/>
      <c r="C95" s="62" t="n"/>
      <c r="D95" s="63" t="n"/>
      <c r="E95" s="64" t="n"/>
      <c r="F95" s="62" t="n"/>
      <c r="G95" s="62" t="n"/>
      <c r="H95" s="65">
        <f>IF(COUNTA(B95:G95)=0,"",IF(B95="","⚠ нет даты",IF(C95="","⚠ нет категории",IF(NOT(ISNUMBER(E95)),"⚠ нет суммы",IF(E95&lt;=0,"⚠ сумма ≤ 0",IF(AND(Главная!$B$7&lt;&gt;"",B95&lt;Главная!$B$7),"⚠ дата до договора",IF(B95&gt;TODAY(),"ⓘ будущая дата","✓ ОК")))))))</f>
        <v/>
      </c>
      <c r="I95" s="66">
        <f>IF(COUNTA(B95:G95)=0,"",IF(D95&lt;&gt;"",D95,IF(B95="","",DATE(YEAR(B95),MONTH(B95),1))))</f>
        <v/>
      </c>
    </row>
    <row r="96" ht="22" customHeight="1">
      <c r="A96" s="60">
        <f>IF(B96="","",ROW()-6)</f>
        <v/>
      </c>
      <c r="B96" s="61" t="n"/>
      <c r="C96" s="62" t="n"/>
      <c r="D96" s="63" t="n"/>
      <c r="E96" s="64" t="n"/>
      <c r="F96" s="62" t="n"/>
      <c r="G96" s="62" t="n"/>
      <c r="H96" s="65">
        <f>IF(COUNTA(B96:G96)=0,"",IF(B96="","⚠ нет даты",IF(C96="","⚠ нет категории",IF(NOT(ISNUMBER(E96)),"⚠ нет суммы",IF(E96&lt;=0,"⚠ сумма ≤ 0",IF(AND(Главная!$B$7&lt;&gt;"",B96&lt;Главная!$B$7),"⚠ дата до договора",IF(B96&gt;TODAY(),"ⓘ будущая дата","✓ ОК")))))))</f>
        <v/>
      </c>
      <c r="I96" s="66">
        <f>IF(COUNTA(B96:G96)=0,"",IF(D96&lt;&gt;"",D96,IF(B96="","",DATE(YEAR(B96),MONTH(B96),1))))</f>
        <v/>
      </c>
    </row>
    <row r="97" ht="22" customHeight="1">
      <c r="A97" s="60">
        <f>IF(B97="","",ROW()-6)</f>
        <v/>
      </c>
      <c r="B97" s="61" t="n"/>
      <c r="C97" s="62" t="n"/>
      <c r="D97" s="63" t="n"/>
      <c r="E97" s="64" t="n"/>
      <c r="F97" s="62" t="n"/>
      <c r="G97" s="62" t="n"/>
      <c r="H97" s="65">
        <f>IF(COUNTA(B97:G97)=0,"",IF(B97="","⚠ нет даты",IF(C97="","⚠ нет категории",IF(NOT(ISNUMBER(E97)),"⚠ нет суммы",IF(E97&lt;=0,"⚠ сумма ≤ 0",IF(AND(Главная!$B$7&lt;&gt;"",B97&lt;Главная!$B$7),"⚠ дата до договора",IF(B97&gt;TODAY(),"ⓘ будущая дата","✓ ОК")))))))</f>
        <v/>
      </c>
      <c r="I97" s="66">
        <f>IF(COUNTA(B97:G97)=0,"",IF(D97&lt;&gt;"",D97,IF(B97="","",DATE(YEAR(B97),MONTH(B97),1))))</f>
        <v/>
      </c>
    </row>
    <row r="98" ht="22" customHeight="1">
      <c r="A98" s="60">
        <f>IF(B98="","",ROW()-6)</f>
        <v/>
      </c>
      <c r="B98" s="61" t="n"/>
      <c r="C98" s="62" t="n"/>
      <c r="D98" s="63" t="n"/>
      <c r="E98" s="64" t="n"/>
      <c r="F98" s="62" t="n"/>
      <c r="G98" s="62" t="n"/>
      <c r="H98" s="65">
        <f>IF(COUNTA(B98:G98)=0,"",IF(B98="","⚠ нет даты",IF(C98="","⚠ нет категории",IF(NOT(ISNUMBER(E98)),"⚠ нет суммы",IF(E98&lt;=0,"⚠ сумма ≤ 0",IF(AND(Главная!$B$7&lt;&gt;"",B98&lt;Главная!$B$7),"⚠ дата до договора",IF(B98&gt;TODAY(),"ⓘ будущая дата","✓ ОК")))))))</f>
        <v/>
      </c>
      <c r="I98" s="66">
        <f>IF(COUNTA(B98:G98)=0,"",IF(D98&lt;&gt;"",D98,IF(B98="","",DATE(YEAR(B98),MONTH(B98),1))))</f>
        <v/>
      </c>
    </row>
    <row r="99" ht="22" customHeight="1">
      <c r="A99" s="60">
        <f>IF(B99="","",ROW()-6)</f>
        <v/>
      </c>
      <c r="B99" s="61" t="n"/>
      <c r="C99" s="62" t="n"/>
      <c r="D99" s="63" t="n"/>
      <c r="E99" s="64" t="n"/>
      <c r="F99" s="62" t="n"/>
      <c r="G99" s="62" t="n"/>
      <c r="H99" s="65">
        <f>IF(COUNTA(B99:G99)=0,"",IF(B99="","⚠ нет даты",IF(C99="","⚠ нет категории",IF(NOT(ISNUMBER(E99)),"⚠ нет суммы",IF(E99&lt;=0,"⚠ сумма ≤ 0",IF(AND(Главная!$B$7&lt;&gt;"",B99&lt;Главная!$B$7),"⚠ дата до договора",IF(B99&gt;TODAY(),"ⓘ будущая дата","✓ ОК")))))))</f>
        <v/>
      </c>
      <c r="I99" s="66">
        <f>IF(COUNTA(B99:G99)=0,"",IF(D99&lt;&gt;"",D99,IF(B99="","",DATE(YEAR(B99),MONTH(B99),1))))</f>
        <v/>
      </c>
    </row>
    <row r="100" ht="22" customHeight="1">
      <c r="A100" s="60">
        <f>IF(B100="","",ROW()-6)</f>
        <v/>
      </c>
      <c r="B100" s="61" t="n"/>
      <c r="C100" s="62" t="n"/>
      <c r="D100" s="63" t="n"/>
      <c r="E100" s="64" t="n"/>
      <c r="F100" s="62" t="n"/>
      <c r="G100" s="62" t="n"/>
      <c r="H100" s="65">
        <f>IF(COUNTA(B100:G100)=0,"",IF(B100="","⚠ нет даты",IF(C100="","⚠ нет категории",IF(NOT(ISNUMBER(E100)),"⚠ нет суммы",IF(E100&lt;=0,"⚠ сумма ≤ 0",IF(AND(Главная!$B$7&lt;&gt;"",B100&lt;Главная!$B$7),"⚠ дата до договора",IF(B100&gt;TODAY(),"ⓘ будущая дата","✓ ОК")))))))</f>
        <v/>
      </c>
      <c r="I100" s="66">
        <f>IF(COUNTA(B100:G100)=0,"",IF(D100&lt;&gt;"",D100,IF(B100="","",DATE(YEAR(B100),MONTH(B100),1))))</f>
        <v/>
      </c>
    </row>
    <row r="101" ht="22" customHeight="1">
      <c r="A101" s="60">
        <f>IF(B101="","",ROW()-6)</f>
        <v/>
      </c>
      <c r="B101" s="61" t="n"/>
      <c r="C101" s="62" t="n"/>
      <c r="D101" s="63" t="n"/>
      <c r="E101" s="64" t="n"/>
      <c r="F101" s="62" t="n"/>
      <c r="G101" s="62" t="n"/>
      <c r="H101" s="65">
        <f>IF(COUNTA(B101:G101)=0,"",IF(B101="","⚠ нет даты",IF(C101="","⚠ нет категории",IF(NOT(ISNUMBER(E101)),"⚠ нет суммы",IF(E101&lt;=0,"⚠ сумма ≤ 0",IF(AND(Главная!$B$7&lt;&gt;"",B101&lt;Главная!$B$7),"⚠ дата до договора",IF(B101&gt;TODAY(),"ⓘ будущая дата","✓ ОК")))))))</f>
        <v/>
      </c>
      <c r="I101" s="66">
        <f>IF(COUNTA(B101:G101)=0,"",IF(D101&lt;&gt;"",D101,IF(B101="","",DATE(YEAR(B101),MONTH(B101),1))))</f>
        <v/>
      </c>
    </row>
    <row r="102" ht="22" customHeight="1">
      <c r="A102" s="60">
        <f>IF(B102="","",ROW()-6)</f>
        <v/>
      </c>
      <c r="B102" s="61" t="n"/>
      <c r="C102" s="62" t="n"/>
      <c r="D102" s="63" t="n"/>
      <c r="E102" s="64" t="n"/>
      <c r="F102" s="62" t="n"/>
      <c r="G102" s="62" t="n"/>
      <c r="H102" s="65">
        <f>IF(COUNTA(B102:G102)=0,"",IF(B102="","⚠ нет даты",IF(C102="","⚠ нет категории",IF(NOT(ISNUMBER(E102)),"⚠ нет суммы",IF(E102&lt;=0,"⚠ сумма ≤ 0",IF(AND(Главная!$B$7&lt;&gt;"",B102&lt;Главная!$B$7),"⚠ дата до договора",IF(B102&gt;TODAY(),"ⓘ будущая дата","✓ ОК")))))))</f>
        <v/>
      </c>
      <c r="I102" s="66">
        <f>IF(COUNTA(B102:G102)=0,"",IF(D102&lt;&gt;"",D102,IF(B102="","",DATE(YEAR(B102),MONTH(B102),1))))</f>
        <v/>
      </c>
    </row>
    <row r="103" ht="22" customHeight="1">
      <c r="A103" s="60">
        <f>IF(B103="","",ROW()-6)</f>
        <v/>
      </c>
      <c r="B103" s="61" t="n"/>
      <c r="C103" s="62" t="n"/>
      <c r="D103" s="63" t="n"/>
      <c r="E103" s="64" t="n"/>
      <c r="F103" s="62" t="n"/>
      <c r="G103" s="62" t="n"/>
      <c r="H103" s="65">
        <f>IF(COUNTA(B103:G103)=0,"",IF(B103="","⚠ нет даты",IF(C103="","⚠ нет категории",IF(NOT(ISNUMBER(E103)),"⚠ нет суммы",IF(E103&lt;=0,"⚠ сумма ≤ 0",IF(AND(Главная!$B$7&lt;&gt;"",B103&lt;Главная!$B$7),"⚠ дата до договора",IF(B103&gt;TODAY(),"ⓘ будущая дата","✓ ОК")))))))</f>
        <v/>
      </c>
      <c r="I103" s="66">
        <f>IF(COUNTA(B103:G103)=0,"",IF(D103&lt;&gt;"",D103,IF(B103="","",DATE(YEAR(B103),MONTH(B103),1))))</f>
        <v/>
      </c>
    </row>
    <row r="104" ht="22" customHeight="1">
      <c r="A104" s="60">
        <f>IF(B104="","",ROW()-6)</f>
        <v/>
      </c>
      <c r="B104" s="61" t="n"/>
      <c r="C104" s="62" t="n"/>
      <c r="D104" s="63" t="n"/>
      <c r="E104" s="64" t="n"/>
      <c r="F104" s="62" t="n"/>
      <c r="G104" s="62" t="n"/>
      <c r="H104" s="65">
        <f>IF(COUNTA(B104:G104)=0,"",IF(B104="","⚠ нет даты",IF(C104="","⚠ нет категории",IF(NOT(ISNUMBER(E104)),"⚠ нет суммы",IF(E104&lt;=0,"⚠ сумма ≤ 0",IF(AND(Главная!$B$7&lt;&gt;"",B104&lt;Главная!$B$7),"⚠ дата до договора",IF(B104&gt;TODAY(),"ⓘ будущая дата","✓ ОК")))))))</f>
        <v/>
      </c>
      <c r="I104" s="66">
        <f>IF(COUNTA(B104:G104)=0,"",IF(D104&lt;&gt;"",D104,IF(B104="","",DATE(YEAR(B104),MONTH(B104),1))))</f>
        <v/>
      </c>
    </row>
    <row r="105" ht="22" customHeight="1">
      <c r="A105" s="60">
        <f>IF(B105="","",ROW()-6)</f>
        <v/>
      </c>
      <c r="B105" s="61" t="n"/>
      <c r="C105" s="62" t="n"/>
      <c r="D105" s="63" t="n"/>
      <c r="E105" s="64" t="n"/>
      <c r="F105" s="62" t="n"/>
      <c r="G105" s="62" t="n"/>
      <c r="H105" s="65">
        <f>IF(COUNTA(B105:G105)=0,"",IF(B105="","⚠ нет даты",IF(C105="","⚠ нет категории",IF(NOT(ISNUMBER(E105)),"⚠ нет суммы",IF(E105&lt;=0,"⚠ сумма ≤ 0",IF(AND(Главная!$B$7&lt;&gt;"",B105&lt;Главная!$B$7),"⚠ дата до договора",IF(B105&gt;TODAY(),"ⓘ будущая дата","✓ ОК")))))))</f>
        <v/>
      </c>
      <c r="I105" s="66">
        <f>IF(COUNTA(B105:G105)=0,"",IF(D105&lt;&gt;"",D105,IF(B105="","",DATE(YEAR(B105),MONTH(B105),1))))</f>
        <v/>
      </c>
    </row>
    <row r="106" ht="22" customHeight="1">
      <c r="A106" s="60">
        <f>IF(B106="","",ROW()-6)</f>
        <v/>
      </c>
      <c r="B106" s="61" t="n"/>
      <c r="C106" s="62" t="n"/>
      <c r="D106" s="63" t="n"/>
      <c r="E106" s="64" t="n"/>
      <c r="F106" s="62" t="n"/>
      <c r="G106" s="62" t="n"/>
      <c r="H106" s="65">
        <f>IF(COUNTA(B106:G106)=0,"",IF(B106="","⚠ нет даты",IF(C106="","⚠ нет категории",IF(NOT(ISNUMBER(E106)),"⚠ нет суммы",IF(E106&lt;=0,"⚠ сумма ≤ 0",IF(AND(Главная!$B$7&lt;&gt;"",B106&lt;Главная!$B$7),"⚠ дата до договора",IF(B106&gt;TODAY(),"ⓘ будущая дата","✓ ОК")))))))</f>
        <v/>
      </c>
      <c r="I106" s="66">
        <f>IF(COUNTA(B106:G106)=0,"",IF(D106&lt;&gt;"",D106,IF(B106="","",DATE(YEAR(B106),MONTH(B106),1))))</f>
        <v/>
      </c>
    </row>
    <row r="107" ht="22" customHeight="1">
      <c r="A107" s="60">
        <f>IF(B107="","",ROW()-6)</f>
        <v/>
      </c>
      <c r="B107" s="61" t="n"/>
      <c r="C107" s="62" t="n"/>
      <c r="D107" s="63" t="n"/>
      <c r="E107" s="64" t="n"/>
      <c r="F107" s="62" t="n"/>
      <c r="G107" s="62" t="n"/>
      <c r="H107" s="65">
        <f>IF(COUNTA(B107:G107)=0,"",IF(B107="","⚠ нет даты",IF(C107="","⚠ нет категории",IF(NOT(ISNUMBER(E107)),"⚠ нет суммы",IF(E107&lt;=0,"⚠ сумма ≤ 0",IF(AND(Главная!$B$7&lt;&gt;"",B107&lt;Главная!$B$7),"⚠ дата до договора",IF(B107&gt;TODAY(),"ⓘ будущая дата","✓ ОК")))))))</f>
        <v/>
      </c>
      <c r="I107" s="66">
        <f>IF(COUNTA(B107:G107)=0,"",IF(D107&lt;&gt;"",D107,IF(B107="","",DATE(YEAR(B107),MONTH(B107),1))))</f>
        <v/>
      </c>
    </row>
    <row r="108" ht="22" customHeight="1">
      <c r="A108" s="60">
        <f>IF(B108="","",ROW()-6)</f>
        <v/>
      </c>
      <c r="B108" s="61" t="n"/>
      <c r="C108" s="62" t="n"/>
      <c r="D108" s="63" t="n"/>
      <c r="E108" s="64" t="n"/>
      <c r="F108" s="62" t="n"/>
      <c r="G108" s="62" t="n"/>
      <c r="H108" s="65">
        <f>IF(COUNTA(B108:G108)=0,"",IF(B108="","⚠ нет даты",IF(C108="","⚠ нет категории",IF(NOT(ISNUMBER(E108)),"⚠ нет суммы",IF(E108&lt;=0,"⚠ сумма ≤ 0",IF(AND(Главная!$B$7&lt;&gt;"",B108&lt;Главная!$B$7),"⚠ дата до договора",IF(B108&gt;TODAY(),"ⓘ будущая дата","✓ ОК")))))))</f>
        <v/>
      </c>
      <c r="I108" s="66">
        <f>IF(COUNTA(B108:G108)=0,"",IF(D108&lt;&gt;"",D108,IF(B108="","",DATE(YEAR(B108),MONTH(B108),1))))</f>
        <v/>
      </c>
    </row>
    <row r="109" ht="22" customHeight="1">
      <c r="A109" s="60">
        <f>IF(B109="","",ROW()-6)</f>
        <v/>
      </c>
      <c r="B109" s="61" t="n"/>
      <c r="C109" s="62" t="n"/>
      <c r="D109" s="63" t="n"/>
      <c r="E109" s="64" t="n"/>
      <c r="F109" s="62" t="n"/>
      <c r="G109" s="62" t="n"/>
      <c r="H109" s="65">
        <f>IF(COUNTA(B109:G109)=0,"",IF(B109="","⚠ нет даты",IF(C109="","⚠ нет категории",IF(NOT(ISNUMBER(E109)),"⚠ нет суммы",IF(E109&lt;=0,"⚠ сумма ≤ 0",IF(AND(Главная!$B$7&lt;&gt;"",B109&lt;Главная!$B$7),"⚠ дата до договора",IF(B109&gt;TODAY(),"ⓘ будущая дата","✓ ОК")))))))</f>
        <v/>
      </c>
      <c r="I109" s="66">
        <f>IF(COUNTA(B109:G109)=0,"",IF(D109&lt;&gt;"",D109,IF(B109="","",DATE(YEAR(B109),MONTH(B109),1))))</f>
        <v/>
      </c>
    </row>
    <row r="110" ht="22" customHeight="1">
      <c r="A110" s="60">
        <f>IF(B110="","",ROW()-6)</f>
        <v/>
      </c>
      <c r="B110" s="61" t="n"/>
      <c r="C110" s="62" t="n"/>
      <c r="D110" s="63" t="n"/>
      <c r="E110" s="64" t="n"/>
      <c r="F110" s="62" t="n"/>
      <c r="G110" s="62" t="n"/>
      <c r="H110" s="65">
        <f>IF(COUNTA(B110:G110)=0,"",IF(B110="","⚠ нет даты",IF(C110="","⚠ нет категории",IF(NOT(ISNUMBER(E110)),"⚠ нет суммы",IF(E110&lt;=0,"⚠ сумма ≤ 0",IF(AND(Главная!$B$7&lt;&gt;"",B110&lt;Главная!$B$7),"⚠ дата до договора",IF(B110&gt;TODAY(),"ⓘ будущая дата","✓ ОК")))))))</f>
        <v/>
      </c>
      <c r="I110" s="66">
        <f>IF(COUNTA(B110:G110)=0,"",IF(D110&lt;&gt;"",D110,IF(B110="","",DATE(YEAR(B110),MONTH(B110),1))))</f>
        <v/>
      </c>
    </row>
    <row r="111" ht="22" customHeight="1">
      <c r="A111" s="60">
        <f>IF(B111="","",ROW()-6)</f>
        <v/>
      </c>
      <c r="B111" s="61" t="n"/>
      <c r="C111" s="62" t="n"/>
      <c r="D111" s="63" t="n"/>
      <c r="E111" s="64" t="n"/>
      <c r="F111" s="62" t="n"/>
      <c r="G111" s="62" t="n"/>
      <c r="H111" s="65">
        <f>IF(COUNTA(B111:G111)=0,"",IF(B111="","⚠ нет даты",IF(C111="","⚠ нет категории",IF(NOT(ISNUMBER(E111)),"⚠ нет суммы",IF(E111&lt;=0,"⚠ сумма ≤ 0",IF(AND(Главная!$B$7&lt;&gt;"",B111&lt;Главная!$B$7),"⚠ дата до договора",IF(B111&gt;TODAY(),"ⓘ будущая дата","✓ ОК")))))))</f>
        <v/>
      </c>
      <c r="I111" s="66">
        <f>IF(COUNTA(B111:G111)=0,"",IF(D111&lt;&gt;"",D111,IF(B111="","",DATE(YEAR(B111),MONTH(B111),1))))</f>
        <v/>
      </c>
    </row>
    <row r="112" ht="22" customHeight="1">
      <c r="A112" s="60">
        <f>IF(B112="","",ROW()-6)</f>
        <v/>
      </c>
      <c r="B112" s="61" t="n"/>
      <c r="C112" s="62" t="n"/>
      <c r="D112" s="63" t="n"/>
      <c r="E112" s="64" t="n"/>
      <c r="F112" s="62" t="n"/>
      <c r="G112" s="62" t="n"/>
      <c r="H112" s="65">
        <f>IF(COUNTA(B112:G112)=0,"",IF(B112="","⚠ нет даты",IF(C112="","⚠ нет категории",IF(NOT(ISNUMBER(E112)),"⚠ нет суммы",IF(E112&lt;=0,"⚠ сумма ≤ 0",IF(AND(Главная!$B$7&lt;&gt;"",B112&lt;Главная!$B$7),"⚠ дата до договора",IF(B112&gt;TODAY(),"ⓘ будущая дата","✓ ОК")))))))</f>
        <v/>
      </c>
      <c r="I112" s="66">
        <f>IF(COUNTA(B112:G112)=0,"",IF(D112&lt;&gt;"",D112,IF(B112="","",DATE(YEAR(B112),MONTH(B112),1))))</f>
        <v/>
      </c>
    </row>
    <row r="113" ht="22" customHeight="1">
      <c r="A113" s="60">
        <f>IF(B113="","",ROW()-6)</f>
        <v/>
      </c>
      <c r="B113" s="61" t="n"/>
      <c r="C113" s="62" t="n"/>
      <c r="D113" s="63" t="n"/>
      <c r="E113" s="64" t="n"/>
      <c r="F113" s="62" t="n"/>
      <c r="G113" s="62" t="n"/>
      <c r="H113" s="65">
        <f>IF(COUNTA(B113:G113)=0,"",IF(B113="","⚠ нет даты",IF(C113="","⚠ нет категории",IF(NOT(ISNUMBER(E113)),"⚠ нет суммы",IF(E113&lt;=0,"⚠ сумма ≤ 0",IF(AND(Главная!$B$7&lt;&gt;"",B113&lt;Главная!$B$7),"⚠ дата до договора",IF(B113&gt;TODAY(),"ⓘ будущая дата","✓ ОК")))))))</f>
        <v/>
      </c>
      <c r="I113" s="66">
        <f>IF(COUNTA(B113:G113)=0,"",IF(D113&lt;&gt;"",D113,IF(B113="","",DATE(YEAR(B113),MONTH(B113),1))))</f>
        <v/>
      </c>
    </row>
    <row r="114" ht="22" customHeight="1">
      <c r="A114" s="60">
        <f>IF(B114="","",ROW()-6)</f>
        <v/>
      </c>
      <c r="B114" s="61" t="n"/>
      <c r="C114" s="62" t="n"/>
      <c r="D114" s="63" t="n"/>
      <c r="E114" s="64" t="n"/>
      <c r="F114" s="62" t="n"/>
      <c r="G114" s="62" t="n"/>
      <c r="H114" s="65">
        <f>IF(COUNTA(B114:G114)=0,"",IF(B114="","⚠ нет даты",IF(C114="","⚠ нет категории",IF(NOT(ISNUMBER(E114)),"⚠ нет суммы",IF(E114&lt;=0,"⚠ сумма ≤ 0",IF(AND(Главная!$B$7&lt;&gt;"",B114&lt;Главная!$B$7),"⚠ дата до договора",IF(B114&gt;TODAY(),"ⓘ будущая дата","✓ ОК")))))))</f>
        <v/>
      </c>
      <c r="I114" s="66">
        <f>IF(COUNTA(B114:G114)=0,"",IF(D114&lt;&gt;"",D114,IF(B114="","",DATE(YEAR(B114),MONTH(B114),1))))</f>
        <v/>
      </c>
    </row>
    <row r="115" ht="22" customHeight="1">
      <c r="A115" s="60">
        <f>IF(B115="","",ROW()-6)</f>
        <v/>
      </c>
      <c r="B115" s="61" t="n"/>
      <c r="C115" s="62" t="n"/>
      <c r="D115" s="63" t="n"/>
      <c r="E115" s="64" t="n"/>
      <c r="F115" s="62" t="n"/>
      <c r="G115" s="62" t="n"/>
      <c r="H115" s="65">
        <f>IF(COUNTA(B115:G115)=0,"",IF(B115="","⚠ нет даты",IF(C115="","⚠ нет категории",IF(NOT(ISNUMBER(E115)),"⚠ нет суммы",IF(E115&lt;=0,"⚠ сумма ≤ 0",IF(AND(Главная!$B$7&lt;&gt;"",B115&lt;Главная!$B$7),"⚠ дата до договора",IF(B115&gt;TODAY(),"ⓘ будущая дата","✓ ОК")))))))</f>
        <v/>
      </c>
      <c r="I115" s="66">
        <f>IF(COUNTA(B115:G115)=0,"",IF(D115&lt;&gt;"",D115,IF(B115="","",DATE(YEAR(B115),MONTH(B115),1))))</f>
        <v/>
      </c>
    </row>
    <row r="116" ht="22" customHeight="1">
      <c r="A116" s="60">
        <f>IF(B116="","",ROW()-6)</f>
        <v/>
      </c>
      <c r="B116" s="61" t="n"/>
      <c r="C116" s="62" t="n"/>
      <c r="D116" s="63" t="n"/>
      <c r="E116" s="64" t="n"/>
      <c r="F116" s="62" t="n"/>
      <c r="G116" s="62" t="n"/>
      <c r="H116" s="65">
        <f>IF(COUNTA(B116:G116)=0,"",IF(B116="","⚠ нет даты",IF(C116="","⚠ нет категории",IF(NOT(ISNUMBER(E116)),"⚠ нет суммы",IF(E116&lt;=0,"⚠ сумма ≤ 0",IF(AND(Главная!$B$7&lt;&gt;"",B116&lt;Главная!$B$7),"⚠ дата до договора",IF(B116&gt;TODAY(),"ⓘ будущая дата","✓ ОК")))))))</f>
        <v/>
      </c>
      <c r="I116" s="66">
        <f>IF(COUNTA(B116:G116)=0,"",IF(D116&lt;&gt;"",D116,IF(B116="","",DATE(YEAR(B116),MONTH(B116),1))))</f>
        <v/>
      </c>
    </row>
    <row r="117" ht="22" customHeight="1">
      <c r="A117" s="60">
        <f>IF(B117="","",ROW()-6)</f>
        <v/>
      </c>
      <c r="B117" s="61" t="n"/>
      <c r="C117" s="62" t="n"/>
      <c r="D117" s="63" t="n"/>
      <c r="E117" s="64" t="n"/>
      <c r="F117" s="62" t="n"/>
      <c r="G117" s="62" t="n"/>
      <c r="H117" s="65">
        <f>IF(COUNTA(B117:G117)=0,"",IF(B117="","⚠ нет даты",IF(C117="","⚠ нет категории",IF(NOT(ISNUMBER(E117)),"⚠ нет суммы",IF(E117&lt;=0,"⚠ сумма ≤ 0",IF(AND(Главная!$B$7&lt;&gt;"",B117&lt;Главная!$B$7),"⚠ дата до договора",IF(B117&gt;TODAY(),"ⓘ будущая дата","✓ ОК")))))))</f>
        <v/>
      </c>
      <c r="I117" s="66">
        <f>IF(COUNTA(B117:G117)=0,"",IF(D117&lt;&gt;"",D117,IF(B117="","",DATE(YEAR(B117),MONTH(B117),1))))</f>
        <v/>
      </c>
    </row>
    <row r="118" ht="22" customHeight="1">
      <c r="A118" s="60">
        <f>IF(B118="","",ROW()-6)</f>
        <v/>
      </c>
      <c r="B118" s="61" t="n"/>
      <c r="C118" s="62" t="n"/>
      <c r="D118" s="63" t="n"/>
      <c r="E118" s="64" t="n"/>
      <c r="F118" s="62" t="n"/>
      <c r="G118" s="62" t="n"/>
      <c r="H118" s="65">
        <f>IF(COUNTA(B118:G118)=0,"",IF(B118="","⚠ нет даты",IF(C118="","⚠ нет категории",IF(NOT(ISNUMBER(E118)),"⚠ нет суммы",IF(E118&lt;=0,"⚠ сумма ≤ 0",IF(AND(Главная!$B$7&lt;&gt;"",B118&lt;Главная!$B$7),"⚠ дата до договора",IF(B118&gt;TODAY(),"ⓘ будущая дата","✓ ОК")))))))</f>
        <v/>
      </c>
      <c r="I118" s="66">
        <f>IF(COUNTA(B118:G118)=0,"",IF(D118&lt;&gt;"",D118,IF(B118="","",DATE(YEAR(B118),MONTH(B118),1))))</f>
        <v/>
      </c>
    </row>
    <row r="119" ht="22" customHeight="1">
      <c r="A119" s="60">
        <f>IF(B119="","",ROW()-6)</f>
        <v/>
      </c>
      <c r="B119" s="61" t="n"/>
      <c r="C119" s="62" t="n"/>
      <c r="D119" s="63" t="n"/>
      <c r="E119" s="64" t="n"/>
      <c r="F119" s="62" t="n"/>
      <c r="G119" s="62" t="n"/>
      <c r="H119" s="65">
        <f>IF(COUNTA(B119:G119)=0,"",IF(B119="","⚠ нет даты",IF(C119="","⚠ нет категории",IF(NOT(ISNUMBER(E119)),"⚠ нет суммы",IF(E119&lt;=0,"⚠ сумма ≤ 0",IF(AND(Главная!$B$7&lt;&gt;"",B119&lt;Главная!$B$7),"⚠ дата до договора",IF(B119&gt;TODAY(),"ⓘ будущая дата","✓ ОК")))))))</f>
        <v/>
      </c>
      <c r="I119" s="66">
        <f>IF(COUNTA(B119:G119)=0,"",IF(D119&lt;&gt;"",D119,IF(B119="","",DATE(YEAR(B119),MONTH(B119),1))))</f>
        <v/>
      </c>
    </row>
    <row r="120" ht="22" customHeight="1">
      <c r="A120" s="60">
        <f>IF(B120="","",ROW()-6)</f>
        <v/>
      </c>
      <c r="B120" s="61" t="n"/>
      <c r="C120" s="62" t="n"/>
      <c r="D120" s="63" t="n"/>
      <c r="E120" s="64" t="n"/>
      <c r="F120" s="62" t="n"/>
      <c r="G120" s="62" t="n"/>
      <c r="H120" s="65">
        <f>IF(COUNTA(B120:G120)=0,"",IF(B120="","⚠ нет даты",IF(C120="","⚠ нет категории",IF(NOT(ISNUMBER(E120)),"⚠ нет суммы",IF(E120&lt;=0,"⚠ сумма ≤ 0",IF(AND(Главная!$B$7&lt;&gt;"",B120&lt;Главная!$B$7),"⚠ дата до договора",IF(B120&gt;TODAY(),"ⓘ будущая дата","✓ ОК")))))))</f>
        <v/>
      </c>
      <c r="I120" s="66">
        <f>IF(COUNTA(B120:G120)=0,"",IF(D120&lt;&gt;"",D120,IF(B120="","",DATE(YEAR(B120),MONTH(B120),1))))</f>
        <v/>
      </c>
    </row>
    <row r="121" ht="22" customHeight="1">
      <c r="A121" s="60">
        <f>IF(B121="","",ROW()-6)</f>
        <v/>
      </c>
      <c r="B121" s="61" t="n"/>
      <c r="C121" s="62" t="n"/>
      <c r="D121" s="63" t="n"/>
      <c r="E121" s="64" t="n"/>
      <c r="F121" s="62" t="n"/>
      <c r="G121" s="62" t="n"/>
      <c r="H121" s="65">
        <f>IF(COUNTA(B121:G121)=0,"",IF(B121="","⚠ нет даты",IF(C121="","⚠ нет категории",IF(NOT(ISNUMBER(E121)),"⚠ нет суммы",IF(E121&lt;=0,"⚠ сумма ≤ 0",IF(AND(Главная!$B$7&lt;&gt;"",B121&lt;Главная!$B$7),"⚠ дата до договора",IF(B121&gt;TODAY(),"ⓘ будущая дата","✓ ОК")))))))</f>
        <v/>
      </c>
      <c r="I121" s="66">
        <f>IF(COUNTA(B121:G121)=0,"",IF(D121&lt;&gt;"",D121,IF(B121="","",DATE(YEAR(B121),MONTH(B121),1))))</f>
        <v/>
      </c>
    </row>
    <row r="122" ht="22" customHeight="1">
      <c r="A122" s="60">
        <f>IF(B122="","",ROW()-6)</f>
        <v/>
      </c>
      <c r="B122" s="61" t="n"/>
      <c r="C122" s="62" t="n"/>
      <c r="D122" s="63" t="n"/>
      <c r="E122" s="64" t="n"/>
      <c r="F122" s="62" t="n"/>
      <c r="G122" s="62" t="n"/>
      <c r="H122" s="65">
        <f>IF(COUNTA(B122:G122)=0,"",IF(B122="","⚠ нет даты",IF(C122="","⚠ нет категории",IF(NOT(ISNUMBER(E122)),"⚠ нет суммы",IF(E122&lt;=0,"⚠ сумма ≤ 0",IF(AND(Главная!$B$7&lt;&gt;"",B122&lt;Главная!$B$7),"⚠ дата до договора",IF(B122&gt;TODAY(),"ⓘ будущая дата","✓ ОК")))))))</f>
        <v/>
      </c>
      <c r="I122" s="66">
        <f>IF(COUNTA(B122:G122)=0,"",IF(D122&lt;&gt;"",D122,IF(B122="","",DATE(YEAR(B122),MONTH(B122),1))))</f>
        <v/>
      </c>
    </row>
    <row r="123" ht="22" customHeight="1">
      <c r="A123" s="60">
        <f>IF(B123="","",ROW()-6)</f>
        <v/>
      </c>
      <c r="B123" s="61" t="n"/>
      <c r="C123" s="62" t="n"/>
      <c r="D123" s="63" t="n"/>
      <c r="E123" s="64" t="n"/>
      <c r="F123" s="62" t="n"/>
      <c r="G123" s="62" t="n"/>
      <c r="H123" s="65">
        <f>IF(COUNTA(B123:G123)=0,"",IF(B123="","⚠ нет даты",IF(C123="","⚠ нет категории",IF(NOT(ISNUMBER(E123)),"⚠ нет суммы",IF(E123&lt;=0,"⚠ сумма ≤ 0",IF(AND(Главная!$B$7&lt;&gt;"",B123&lt;Главная!$B$7),"⚠ дата до договора",IF(B123&gt;TODAY(),"ⓘ будущая дата","✓ ОК")))))))</f>
        <v/>
      </c>
      <c r="I123" s="66">
        <f>IF(COUNTA(B123:G123)=0,"",IF(D123&lt;&gt;"",D123,IF(B123="","",DATE(YEAR(B123),MONTH(B123),1))))</f>
        <v/>
      </c>
    </row>
    <row r="124" ht="22" customHeight="1">
      <c r="A124" s="60">
        <f>IF(B124="","",ROW()-6)</f>
        <v/>
      </c>
      <c r="B124" s="61" t="n"/>
      <c r="C124" s="62" t="n"/>
      <c r="D124" s="63" t="n"/>
      <c r="E124" s="64" t="n"/>
      <c r="F124" s="62" t="n"/>
      <c r="G124" s="62" t="n"/>
      <c r="H124" s="65">
        <f>IF(COUNTA(B124:G124)=0,"",IF(B124="","⚠ нет даты",IF(C124="","⚠ нет категории",IF(NOT(ISNUMBER(E124)),"⚠ нет суммы",IF(E124&lt;=0,"⚠ сумма ≤ 0",IF(AND(Главная!$B$7&lt;&gt;"",B124&lt;Главная!$B$7),"⚠ дата до договора",IF(B124&gt;TODAY(),"ⓘ будущая дата","✓ ОК")))))))</f>
        <v/>
      </c>
      <c r="I124" s="66">
        <f>IF(COUNTA(B124:G124)=0,"",IF(D124&lt;&gt;"",D124,IF(B124="","",DATE(YEAR(B124),MONTH(B124),1))))</f>
        <v/>
      </c>
    </row>
    <row r="125" ht="22" customHeight="1">
      <c r="A125" s="60">
        <f>IF(B125="","",ROW()-6)</f>
        <v/>
      </c>
      <c r="B125" s="61" t="n"/>
      <c r="C125" s="62" t="n"/>
      <c r="D125" s="63" t="n"/>
      <c r="E125" s="64" t="n"/>
      <c r="F125" s="62" t="n"/>
      <c r="G125" s="62" t="n"/>
      <c r="H125" s="65">
        <f>IF(COUNTA(B125:G125)=0,"",IF(B125="","⚠ нет даты",IF(C125="","⚠ нет категории",IF(NOT(ISNUMBER(E125)),"⚠ нет суммы",IF(E125&lt;=0,"⚠ сумма ≤ 0",IF(AND(Главная!$B$7&lt;&gt;"",B125&lt;Главная!$B$7),"⚠ дата до договора",IF(B125&gt;TODAY(),"ⓘ будущая дата","✓ ОК")))))))</f>
        <v/>
      </c>
      <c r="I125" s="66">
        <f>IF(COUNTA(B125:G125)=0,"",IF(D125&lt;&gt;"",D125,IF(B125="","",DATE(YEAR(B125),MONTH(B125),1))))</f>
        <v/>
      </c>
    </row>
    <row r="126" ht="22" customHeight="1">
      <c r="A126" s="60">
        <f>IF(B126="","",ROW()-6)</f>
        <v/>
      </c>
      <c r="B126" s="61" t="n"/>
      <c r="C126" s="62" t="n"/>
      <c r="D126" s="63" t="n"/>
      <c r="E126" s="64" t="n"/>
      <c r="F126" s="62" t="n"/>
      <c r="G126" s="62" t="n"/>
      <c r="H126" s="65">
        <f>IF(COUNTA(B126:G126)=0,"",IF(B126="","⚠ нет даты",IF(C126="","⚠ нет категории",IF(NOT(ISNUMBER(E126)),"⚠ нет суммы",IF(E126&lt;=0,"⚠ сумма ≤ 0",IF(AND(Главная!$B$7&lt;&gt;"",B126&lt;Главная!$B$7),"⚠ дата до договора",IF(B126&gt;TODAY(),"ⓘ будущая дата","✓ ОК")))))))</f>
        <v/>
      </c>
      <c r="I126" s="66">
        <f>IF(COUNTA(B126:G126)=0,"",IF(D126&lt;&gt;"",D126,IF(B126="","",DATE(YEAR(B126),MONTH(B126),1))))</f>
        <v/>
      </c>
    </row>
    <row r="127" ht="22" customHeight="1">
      <c r="A127" s="60">
        <f>IF(B127="","",ROW()-6)</f>
        <v/>
      </c>
      <c r="B127" s="61" t="n"/>
      <c r="C127" s="62" t="n"/>
      <c r="D127" s="63" t="n"/>
      <c r="E127" s="64" t="n"/>
      <c r="F127" s="62" t="n"/>
      <c r="G127" s="62" t="n"/>
      <c r="H127" s="65">
        <f>IF(COUNTA(B127:G127)=0,"",IF(B127="","⚠ нет даты",IF(C127="","⚠ нет категории",IF(NOT(ISNUMBER(E127)),"⚠ нет суммы",IF(E127&lt;=0,"⚠ сумма ≤ 0",IF(AND(Главная!$B$7&lt;&gt;"",B127&lt;Главная!$B$7),"⚠ дата до договора",IF(B127&gt;TODAY(),"ⓘ будущая дата","✓ ОК")))))))</f>
        <v/>
      </c>
      <c r="I127" s="66">
        <f>IF(COUNTA(B127:G127)=0,"",IF(D127&lt;&gt;"",D127,IF(B127="","",DATE(YEAR(B127),MONTH(B127),1))))</f>
        <v/>
      </c>
    </row>
    <row r="128" ht="22" customHeight="1">
      <c r="A128" s="60">
        <f>IF(B128="","",ROW()-6)</f>
        <v/>
      </c>
      <c r="B128" s="61" t="n"/>
      <c r="C128" s="62" t="n"/>
      <c r="D128" s="63" t="n"/>
      <c r="E128" s="64" t="n"/>
      <c r="F128" s="62" t="n"/>
      <c r="G128" s="62" t="n"/>
      <c r="H128" s="65">
        <f>IF(COUNTA(B128:G128)=0,"",IF(B128="","⚠ нет даты",IF(C128="","⚠ нет категории",IF(NOT(ISNUMBER(E128)),"⚠ нет суммы",IF(E128&lt;=0,"⚠ сумма ≤ 0",IF(AND(Главная!$B$7&lt;&gt;"",B128&lt;Главная!$B$7),"⚠ дата до договора",IF(B128&gt;TODAY(),"ⓘ будущая дата","✓ ОК")))))))</f>
        <v/>
      </c>
      <c r="I128" s="66">
        <f>IF(COUNTA(B128:G128)=0,"",IF(D128&lt;&gt;"",D128,IF(B128="","",DATE(YEAR(B128),MONTH(B128),1))))</f>
        <v/>
      </c>
    </row>
    <row r="129" ht="22" customHeight="1">
      <c r="A129" s="60">
        <f>IF(B129="","",ROW()-6)</f>
        <v/>
      </c>
      <c r="B129" s="61" t="n"/>
      <c r="C129" s="62" t="n"/>
      <c r="D129" s="63" t="n"/>
      <c r="E129" s="64" t="n"/>
      <c r="F129" s="62" t="n"/>
      <c r="G129" s="62" t="n"/>
      <c r="H129" s="65">
        <f>IF(COUNTA(B129:G129)=0,"",IF(B129="","⚠ нет даты",IF(C129="","⚠ нет категории",IF(NOT(ISNUMBER(E129)),"⚠ нет суммы",IF(E129&lt;=0,"⚠ сумма ≤ 0",IF(AND(Главная!$B$7&lt;&gt;"",B129&lt;Главная!$B$7),"⚠ дата до договора",IF(B129&gt;TODAY(),"ⓘ будущая дата","✓ ОК")))))))</f>
        <v/>
      </c>
      <c r="I129" s="66">
        <f>IF(COUNTA(B129:G129)=0,"",IF(D129&lt;&gt;"",D129,IF(B129="","",DATE(YEAR(B129),MONTH(B129),1))))</f>
        <v/>
      </c>
    </row>
    <row r="130" ht="22" customHeight="1">
      <c r="A130" s="60">
        <f>IF(B130="","",ROW()-6)</f>
        <v/>
      </c>
      <c r="B130" s="61" t="n"/>
      <c r="C130" s="62" t="n"/>
      <c r="D130" s="63" t="n"/>
      <c r="E130" s="64" t="n"/>
      <c r="F130" s="62" t="n"/>
      <c r="G130" s="62" t="n"/>
      <c r="H130" s="65">
        <f>IF(COUNTA(B130:G130)=0,"",IF(B130="","⚠ нет даты",IF(C130="","⚠ нет категории",IF(NOT(ISNUMBER(E130)),"⚠ нет суммы",IF(E130&lt;=0,"⚠ сумма ≤ 0",IF(AND(Главная!$B$7&lt;&gt;"",B130&lt;Главная!$B$7),"⚠ дата до договора",IF(B130&gt;TODAY(),"ⓘ будущая дата","✓ ОК")))))))</f>
        <v/>
      </c>
      <c r="I130" s="66">
        <f>IF(COUNTA(B130:G130)=0,"",IF(D130&lt;&gt;"",D130,IF(B130="","",DATE(YEAR(B130),MONTH(B130),1))))</f>
        <v/>
      </c>
    </row>
    <row r="131" ht="22" customHeight="1">
      <c r="A131" s="60">
        <f>IF(B131="","",ROW()-6)</f>
        <v/>
      </c>
      <c r="B131" s="61" t="n"/>
      <c r="C131" s="62" t="n"/>
      <c r="D131" s="63" t="n"/>
      <c r="E131" s="64" t="n"/>
      <c r="F131" s="62" t="n"/>
      <c r="G131" s="62" t="n"/>
      <c r="H131" s="65">
        <f>IF(COUNTA(B131:G131)=0,"",IF(B131="","⚠ нет даты",IF(C131="","⚠ нет категории",IF(NOT(ISNUMBER(E131)),"⚠ нет суммы",IF(E131&lt;=0,"⚠ сумма ≤ 0",IF(AND(Главная!$B$7&lt;&gt;"",B131&lt;Главная!$B$7),"⚠ дата до договора",IF(B131&gt;TODAY(),"ⓘ будущая дата","✓ ОК")))))))</f>
        <v/>
      </c>
      <c r="I131" s="66">
        <f>IF(COUNTA(B131:G131)=0,"",IF(D131&lt;&gt;"",D131,IF(B131="","",DATE(YEAR(B131),MONTH(B131),1))))</f>
        <v/>
      </c>
    </row>
    <row r="132" ht="22" customHeight="1">
      <c r="A132" s="60">
        <f>IF(B132="","",ROW()-6)</f>
        <v/>
      </c>
      <c r="B132" s="61" t="n"/>
      <c r="C132" s="62" t="n"/>
      <c r="D132" s="63" t="n"/>
      <c r="E132" s="64" t="n"/>
      <c r="F132" s="62" t="n"/>
      <c r="G132" s="62" t="n"/>
      <c r="H132" s="65">
        <f>IF(COUNTA(B132:G132)=0,"",IF(B132="","⚠ нет даты",IF(C132="","⚠ нет категории",IF(NOT(ISNUMBER(E132)),"⚠ нет суммы",IF(E132&lt;=0,"⚠ сумма ≤ 0",IF(AND(Главная!$B$7&lt;&gt;"",B132&lt;Главная!$B$7),"⚠ дата до договора",IF(B132&gt;TODAY(),"ⓘ будущая дата","✓ ОК")))))))</f>
        <v/>
      </c>
      <c r="I132" s="66">
        <f>IF(COUNTA(B132:G132)=0,"",IF(D132&lt;&gt;"",D132,IF(B132="","",DATE(YEAR(B132),MONTH(B132),1))))</f>
        <v/>
      </c>
    </row>
    <row r="133" ht="22" customHeight="1">
      <c r="A133" s="60">
        <f>IF(B133="","",ROW()-6)</f>
        <v/>
      </c>
      <c r="B133" s="61" t="n"/>
      <c r="C133" s="62" t="n"/>
      <c r="D133" s="63" t="n"/>
      <c r="E133" s="64" t="n"/>
      <c r="F133" s="62" t="n"/>
      <c r="G133" s="62" t="n"/>
      <c r="H133" s="65">
        <f>IF(COUNTA(B133:G133)=0,"",IF(B133="","⚠ нет даты",IF(C133="","⚠ нет категории",IF(NOT(ISNUMBER(E133)),"⚠ нет суммы",IF(E133&lt;=0,"⚠ сумма ≤ 0",IF(AND(Главная!$B$7&lt;&gt;"",B133&lt;Главная!$B$7),"⚠ дата до договора",IF(B133&gt;TODAY(),"ⓘ будущая дата","✓ ОК")))))))</f>
        <v/>
      </c>
      <c r="I133" s="66">
        <f>IF(COUNTA(B133:G133)=0,"",IF(D133&lt;&gt;"",D133,IF(B133="","",DATE(YEAR(B133),MONTH(B133),1))))</f>
        <v/>
      </c>
    </row>
    <row r="134" ht="22" customHeight="1">
      <c r="A134" s="60">
        <f>IF(B134="","",ROW()-6)</f>
        <v/>
      </c>
      <c r="B134" s="61" t="n"/>
      <c r="C134" s="62" t="n"/>
      <c r="D134" s="63" t="n"/>
      <c r="E134" s="64" t="n"/>
      <c r="F134" s="62" t="n"/>
      <c r="G134" s="62" t="n"/>
      <c r="H134" s="65">
        <f>IF(COUNTA(B134:G134)=0,"",IF(B134="","⚠ нет даты",IF(C134="","⚠ нет категории",IF(NOT(ISNUMBER(E134)),"⚠ нет суммы",IF(E134&lt;=0,"⚠ сумма ≤ 0",IF(AND(Главная!$B$7&lt;&gt;"",B134&lt;Главная!$B$7),"⚠ дата до договора",IF(B134&gt;TODAY(),"ⓘ будущая дата","✓ ОК")))))))</f>
        <v/>
      </c>
      <c r="I134" s="66">
        <f>IF(COUNTA(B134:G134)=0,"",IF(D134&lt;&gt;"",D134,IF(B134="","",DATE(YEAR(B134),MONTH(B134),1))))</f>
        <v/>
      </c>
    </row>
    <row r="135" ht="22" customHeight="1">
      <c r="A135" s="60">
        <f>IF(B135="","",ROW()-6)</f>
        <v/>
      </c>
      <c r="B135" s="61" t="n"/>
      <c r="C135" s="62" t="n"/>
      <c r="D135" s="63" t="n"/>
      <c r="E135" s="64" t="n"/>
      <c r="F135" s="62" t="n"/>
      <c r="G135" s="62" t="n"/>
      <c r="H135" s="65">
        <f>IF(COUNTA(B135:G135)=0,"",IF(B135="","⚠ нет даты",IF(C135="","⚠ нет категории",IF(NOT(ISNUMBER(E135)),"⚠ нет суммы",IF(E135&lt;=0,"⚠ сумма ≤ 0",IF(AND(Главная!$B$7&lt;&gt;"",B135&lt;Главная!$B$7),"⚠ дата до договора",IF(B135&gt;TODAY(),"ⓘ будущая дата","✓ ОК")))))))</f>
        <v/>
      </c>
      <c r="I135" s="66">
        <f>IF(COUNTA(B135:G135)=0,"",IF(D135&lt;&gt;"",D135,IF(B135="","",DATE(YEAR(B135),MONTH(B135),1))))</f>
        <v/>
      </c>
    </row>
    <row r="136" ht="22" customHeight="1">
      <c r="A136" s="60">
        <f>IF(B136="","",ROW()-6)</f>
        <v/>
      </c>
      <c r="B136" s="61" t="n"/>
      <c r="C136" s="62" t="n"/>
      <c r="D136" s="63" t="n"/>
      <c r="E136" s="64" t="n"/>
      <c r="F136" s="62" t="n"/>
      <c r="G136" s="62" t="n"/>
      <c r="H136" s="65">
        <f>IF(COUNTA(B136:G136)=0,"",IF(B136="","⚠ нет даты",IF(C136="","⚠ нет категории",IF(NOT(ISNUMBER(E136)),"⚠ нет суммы",IF(E136&lt;=0,"⚠ сумма ≤ 0",IF(AND(Главная!$B$7&lt;&gt;"",B136&lt;Главная!$B$7),"⚠ дата до договора",IF(B136&gt;TODAY(),"ⓘ будущая дата","✓ ОК")))))))</f>
        <v/>
      </c>
      <c r="I136" s="66">
        <f>IF(COUNTA(B136:G136)=0,"",IF(D136&lt;&gt;"",D136,IF(B136="","",DATE(YEAR(B136),MONTH(B136),1))))</f>
        <v/>
      </c>
    </row>
    <row r="137" ht="22" customHeight="1">
      <c r="A137" s="60">
        <f>IF(B137="","",ROW()-6)</f>
        <v/>
      </c>
      <c r="B137" s="61" t="n"/>
      <c r="C137" s="62" t="n"/>
      <c r="D137" s="63" t="n"/>
      <c r="E137" s="64" t="n"/>
      <c r="F137" s="62" t="n"/>
      <c r="G137" s="62" t="n"/>
      <c r="H137" s="65">
        <f>IF(COUNTA(B137:G137)=0,"",IF(B137="","⚠ нет даты",IF(C137="","⚠ нет категории",IF(NOT(ISNUMBER(E137)),"⚠ нет суммы",IF(E137&lt;=0,"⚠ сумма ≤ 0",IF(AND(Главная!$B$7&lt;&gt;"",B137&lt;Главная!$B$7),"⚠ дата до договора",IF(B137&gt;TODAY(),"ⓘ будущая дата","✓ ОК")))))))</f>
        <v/>
      </c>
      <c r="I137" s="66">
        <f>IF(COUNTA(B137:G137)=0,"",IF(D137&lt;&gt;"",D137,IF(B137="","",DATE(YEAR(B137),MONTH(B137),1))))</f>
        <v/>
      </c>
    </row>
    <row r="138" ht="22" customHeight="1">
      <c r="A138" s="60">
        <f>IF(B138="","",ROW()-6)</f>
        <v/>
      </c>
      <c r="B138" s="61" t="n"/>
      <c r="C138" s="62" t="n"/>
      <c r="D138" s="63" t="n"/>
      <c r="E138" s="64" t="n"/>
      <c r="F138" s="62" t="n"/>
      <c r="G138" s="62" t="n"/>
      <c r="H138" s="65">
        <f>IF(COUNTA(B138:G138)=0,"",IF(B138="","⚠ нет даты",IF(C138="","⚠ нет категории",IF(NOT(ISNUMBER(E138)),"⚠ нет суммы",IF(E138&lt;=0,"⚠ сумма ≤ 0",IF(AND(Главная!$B$7&lt;&gt;"",B138&lt;Главная!$B$7),"⚠ дата до договора",IF(B138&gt;TODAY(),"ⓘ будущая дата","✓ ОК")))))))</f>
        <v/>
      </c>
      <c r="I138" s="66">
        <f>IF(COUNTA(B138:G138)=0,"",IF(D138&lt;&gt;"",D138,IF(B138="","",DATE(YEAR(B138),MONTH(B138),1))))</f>
        <v/>
      </c>
    </row>
    <row r="139" ht="22" customHeight="1">
      <c r="A139" s="60">
        <f>IF(B139="","",ROW()-6)</f>
        <v/>
      </c>
      <c r="B139" s="61" t="n"/>
      <c r="C139" s="62" t="n"/>
      <c r="D139" s="63" t="n"/>
      <c r="E139" s="64" t="n"/>
      <c r="F139" s="62" t="n"/>
      <c r="G139" s="62" t="n"/>
      <c r="H139" s="65">
        <f>IF(COUNTA(B139:G139)=0,"",IF(B139="","⚠ нет даты",IF(C139="","⚠ нет категории",IF(NOT(ISNUMBER(E139)),"⚠ нет суммы",IF(E139&lt;=0,"⚠ сумма ≤ 0",IF(AND(Главная!$B$7&lt;&gt;"",B139&lt;Главная!$B$7),"⚠ дата до договора",IF(B139&gt;TODAY(),"ⓘ будущая дата","✓ ОК")))))))</f>
        <v/>
      </c>
      <c r="I139" s="66">
        <f>IF(COUNTA(B139:G139)=0,"",IF(D139&lt;&gt;"",D139,IF(B139="","",DATE(YEAR(B139),MONTH(B139),1))))</f>
        <v/>
      </c>
    </row>
    <row r="140" ht="22" customHeight="1">
      <c r="A140" s="60">
        <f>IF(B140="","",ROW()-6)</f>
        <v/>
      </c>
      <c r="B140" s="61" t="n"/>
      <c r="C140" s="62" t="n"/>
      <c r="D140" s="63" t="n"/>
      <c r="E140" s="64" t="n"/>
      <c r="F140" s="62" t="n"/>
      <c r="G140" s="62" t="n"/>
      <c r="H140" s="65">
        <f>IF(COUNTA(B140:G140)=0,"",IF(B140="","⚠ нет даты",IF(C140="","⚠ нет категории",IF(NOT(ISNUMBER(E140)),"⚠ нет суммы",IF(E140&lt;=0,"⚠ сумма ≤ 0",IF(AND(Главная!$B$7&lt;&gt;"",B140&lt;Главная!$B$7),"⚠ дата до договора",IF(B140&gt;TODAY(),"ⓘ будущая дата","✓ ОК")))))))</f>
        <v/>
      </c>
      <c r="I140" s="66">
        <f>IF(COUNTA(B140:G140)=0,"",IF(D140&lt;&gt;"",D140,IF(B140="","",DATE(YEAR(B140),MONTH(B140),1))))</f>
        <v/>
      </c>
    </row>
    <row r="141" ht="22" customHeight="1">
      <c r="A141" s="60">
        <f>IF(B141="","",ROW()-6)</f>
        <v/>
      </c>
      <c r="B141" s="61" t="n"/>
      <c r="C141" s="62" t="n"/>
      <c r="D141" s="63" t="n"/>
      <c r="E141" s="64" t="n"/>
      <c r="F141" s="62" t="n"/>
      <c r="G141" s="62" t="n"/>
      <c r="H141" s="65">
        <f>IF(COUNTA(B141:G141)=0,"",IF(B141="","⚠ нет даты",IF(C141="","⚠ нет категории",IF(NOT(ISNUMBER(E141)),"⚠ нет суммы",IF(E141&lt;=0,"⚠ сумма ≤ 0",IF(AND(Главная!$B$7&lt;&gt;"",B141&lt;Главная!$B$7),"⚠ дата до договора",IF(B141&gt;TODAY(),"ⓘ будущая дата","✓ ОК")))))))</f>
        <v/>
      </c>
      <c r="I141" s="66">
        <f>IF(COUNTA(B141:G141)=0,"",IF(D141&lt;&gt;"",D141,IF(B141="","",DATE(YEAR(B141),MONTH(B141),1))))</f>
        <v/>
      </c>
    </row>
    <row r="142" ht="22" customHeight="1">
      <c r="A142" s="60">
        <f>IF(B142="","",ROW()-6)</f>
        <v/>
      </c>
      <c r="B142" s="61" t="n"/>
      <c r="C142" s="62" t="n"/>
      <c r="D142" s="63" t="n"/>
      <c r="E142" s="64" t="n"/>
      <c r="F142" s="62" t="n"/>
      <c r="G142" s="62" t="n"/>
      <c r="H142" s="65">
        <f>IF(COUNTA(B142:G142)=0,"",IF(B142="","⚠ нет даты",IF(C142="","⚠ нет категории",IF(NOT(ISNUMBER(E142)),"⚠ нет суммы",IF(E142&lt;=0,"⚠ сумма ≤ 0",IF(AND(Главная!$B$7&lt;&gt;"",B142&lt;Главная!$B$7),"⚠ дата до договора",IF(B142&gt;TODAY(),"ⓘ будущая дата","✓ ОК")))))))</f>
        <v/>
      </c>
      <c r="I142" s="66">
        <f>IF(COUNTA(B142:G142)=0,"",IF(D142&lt;&gt;"",D142,IF(B142="","",DATE(YEAR(B142),MONTH(B142),1))))</f>
        <v/>
      </c>
    </row>
    <row r="143" ht="22" customHeight="1">
      <c r="A143" s="60">
        <f>IF(B143="","",ROW()-6)</f>
        <v/>
      </c>
      <c r="B143" s="61" t="n"/>
      <c r="C143" s="62" t="n"/>
      <c r="D143" s="63" t="n"/>
      <c r="E143" s="64" t="n"/>
      <c r="F143" s="62" t="n"/>
      <c r="G143" s="62" t="n"/>
      <c r="H143" s="65">
        <f>IF(COUNTA(B143:G143)=0,"",IF(B143="","⚠ нет даты",IF(C143="","⚠ нет категории",IF(NOT(ISNUMBER(E143)),"⚠ нет суммы",IF(E143&lt;=0,"⚠ сумма ≤ 0",IF(AND(Главная!$B$7&lt;&gt;"",B143&lt;Главная!$B$7),"⚠ дата до договора",IF(B143&gt;TODAY(),"ⓘ будущая дата","✓ ОК")))))))</f>
        <v/>
      </c>
      <c r="I143" s="66">
        <f>IF(COUNTA(B143:G143)=0,"",IF(D143&lt;&gt;"",D143,IF(B143="","",DATE(YEAR(B143),MONTH(B143),1))))</f>
        <v/>
      </c>
    </row>
    <row r="144" ht="22" customHeight="1">
      <c r="A144" s="60">
        <f>IF(B144="","",ROW()-6)</f>
        <v/>
      </c>
      <c r="B144" s="61" t="n"/>
      <c r="C144" s="62" t="n"/>
      <c r="D144" s="63" t="n"/>
      <c r="E144" s="64" t="n"/>
      <c r="F144" s="62" t="n"/>
      <c r="G144" s="62" t="n"/>
      <c r="H144" s="65">
        <f>IF(COUNTA(B144:G144)=0,"",IF(B144="","⚠ нет даты",IF(C144="","⚠ нет категории",IF(NOT(ISNUMBER(E144)),"⚠ нет суммы",IF(E144&lt;=0,"⚠ сумма ≤ 0",IF(AND(Главная!$B$7&lt;&gt;"",B144&lt;Главная!$B$7),"⚠ дата до договора",IF(B144&gt;TODAY(),"ⓘ будущая дата","✓ ОК")))))))</f>
        <v/>
      </c>
      <c r="I144" s="66">
        <f>IF(COUNTA(B144:G144)=0,"",IF(D144&lt;&gt;"",D144,IF(B144="","",DATE(YEAR(B144),MONTH(B144),1))))</f>
        <v/>
      </c>
    </row>
    <row r="145" ht="22" customHeight="1">
      <c r="A145" s="60">
        <f>IF(B145="","",ROW()-6)</f>
        <v/>
      </c>
      <c r="B145" s="61" t="n"/>
      <c r="C145" s="62" t="n"/>
      <c r="D145" s="63" t="n"/>
      <c r="E145" s="64" t="n"/>
      <c r="F145" s="62" t="n"/>
      <c r="G145" s="62" t="n"/>
      <c r="H145" s="65">
        <f>IF(COUNTA(B145:G145)=0,"",IF(B145="","⚠ нет даты",IF(C145="","⚠ нет категории",IF(NOT(ISNUMBER(E145)),"⚠ нет суммы",IF(E145&lt;=0,"⚠ сумма ≤ 0",IF(AND(Главная!$B$7&lt;&gt;"",B145&lt;Главная!$B$7),"⚠ дата до договора",IF(B145&gt;TODAY(),"ⓘ будущая дата","✓ ОК")))))))</f>
        <v/>
      </c>
      <c r="I145" s="66">
        <f>IF(COUNTA(B145:G145)=0,"",IF(D145&lt;&gt;"",D145,IF(B145="","",DATE(YEAR(B145),MONTH(B145),1))))</f>
        <v/>
      </c>
    </row>
    <row r="146" ht="22" customHeight="1">
      <c r="A146" s="60">
        <f>IF(B146="","",ROW()-6)</f>
        <v/>
      </c>
      <c r="B146" s="61" t="n"/>
      <c r="C146" s="62" t="n"/>
      <c r="D146" s="63" t="n"/>
      <c r="E146" s="64" t="n"/>
      <c r="F146" s="62" t="n"/>
      <c r="G146" s="62" t="n"/>
      <c r="H146" s="65">
        <f>IF(COUNTA(B146:G146)=0,"",IF(B146="","⚠ нет даты",IF(C146="","⚠ нет категории",IF(NOT(ISNUMBER(E146)),"⚠ нет суммы",IF(E146&lt;=0,"⚠ сумма ≤ 0",IF(AND(Главная!$B$7&lt;&gt;"",B146&lt;Главная!$B$7),"⚠ дата до договора",IF(B146&gt;TODAY(),"ⓘ будущая дата","✓ ОК")))))))</f>
        <v/>
      </c>
      <c r="I146" s="66">
        <f>IF(COUNTA(B146:G146)=0,"",IF(D146&lt;&gt;"",D146,IF(B146="","",DATE(YEAR(B146),MONTH(B146),1))))</f>
        <v/>
      </c>
    </row>
    <row r="147" ht="22" customHeight="1">
      <c r="A147" s="60">
        <f>IF(B147="","",ROW()-6)</f>
        <v/>
      </c>
      <c r="B147" s="61" t="n"/>
      <c r="C147" s="62" t="n"/>
      <c r="D147" s="63" t="n"/>
      <c r="E147" s="64" t="n"/>
      <c r="F147" s="62" t="n"/>
      <c r="G147" s="62" t="n"/>
      <c r="H147" s="65">
        <f>IF(COUNTA(B147:G147)=0,"",IF(B147="","⚠ нет даты",IF(C147="","⚠ нет категории",IF(NOT(ISNUMBER(E147)),"⚠ нет суммы",IF(E147&lt;=0,"⚠ сумма ≤ 0",IF(AND(Главная!$B$7&lt;&gt;"",B147&lt;Главная!$B$7),"⚠ дата до договора",IF(B147&gt;TODAY(),"ⓘ будущая дата","✓ ОК")))))))</f>
        <v/>
      </c>
      <c r="I147" s="66">
        <f>IF(COUNTA(B147:G147)=0,"",IF(D147&lt;&gt;"",D147,IF(B147="","",DATE(YEAR(B147),MONTH(B147),1))))</f>
        <v/>
      </c>
    </row>
    <row r="148" ht="22" customHeight="1">
      <c r="A148" s="60">
        <f>IF(B148="","",ROW()-6)</f>
        <v/>
      </c>
      <c r="B148" s="61" t="n"/>
      <c r="C148" s="62" t="n"/>
      <c r="D148" s="63" t="n"/>
      <c r="E148" s="64" t="n"/>
      <c r="F148" s="62" t="n"/>
      <c r="G148" s="62" t="n"/>
      <c r="H148" s="65">
        <f>IF(COUNTA(B148:G148)=0,"",IF(B148="","⚠ нет даты",IF(C148="","⚠ нет категории",IF(NOT(ISNUMBER(E148)),"⚠ нет суммы",IF(E148&lt;=0,"⚠ сумма ≤ 0",IF(AND(Главная!$B$7&lt;&gt;"",B148&lt;Главная!$B$7),"⚠ дата до договора",IF(B148&gt;TODAY(),"ⓘ будущая дата","✓ ОК")))))))</f>
        <v/>
      </c>
      <c r="I148" s="66">
        <f>IF(COUNTA(B148:G148)=0,"",IF(D148&lt;&gt;"",D148,IF(B148="","",DATE(YEAR(B148),MONTH(B148),1))))</f>
        <v/>
      </c>
    </row>
    <row r="149" ht="22" customHeight="1">
      <c r="A149" s="60">
        <f>IF(B149="","",ROW()-6)</f>
        <v/>
      </c>
      <c r="B149" s="61" t="n"/>
      <c r="C149" s="62" t="n"/>
      <c r="D149" s="63" t="n"/>
      <c r="E149" s="64" t="n"/>
      <c r="F149" s="62" t="n"/>
      <c r="G149" s="62" t="n"/>
      <c r="H149" s="65">
        <f>IF(COUNTA(B149:G149)=0,"",IF(B149="","⚠ нет даты",IF(C149="","⚠ нет категории",IF(NOT(ISNUMBER(E149)),"⚠ нет суммы",IF(E149&lt;=0,"⚠ сумма ≤ 0",IF(AND(Главная!$B$7&lt;&gt;"",B149&lt;Главная!$B$7),"⚠ дата до договора",IF(B149&gt;TODAY(),"ⓘ будущая дата","✓ ОК")))))))</f>
        <v/>
      </c>
      <c r="I149" s="66">
        <f>IF(COUNTA(B149:G149)=0,"",IF(D149&lt;&gt;"",D149,IF(B149="","",DATE(YEAR(B149),MONTH(B149),1))))</f>
        <v/>
      </c>
    </row>
    <row r="150" ht="22" customHeight="1">
      <c r="A150" s="60">
        <f>IF(B150="","",ROW()-6)</f>
        <v/>
      </c>
      <c r="B150" s="61" t="n"/>
      <c r="C150" s="62" t="n"/>
      <c r="D150" s="63" t="n"/>
      <c r="E150" s="64" t="n"/>
      <c r="F150" s="62" t="n"/>
      <c r="G150" s="62" t="n"/>
      <c r="H150" s="65">
        <f>IF(COUNTA(B150:G150)=0,"",IF(B150="","⚠ нет даты",IF(C150="","⚠ нет категории",IF(NOT(ISNUMBER(E150)),"⚠ нет суммы",IF(E150&lt;=0,"⚠ сумма ≤ 0",IF(AND(Главная!$B$7&lt;&gt;"",B150&lt;Главная!$B$7),"⚠ дата до договора",IF(B150&gt;TODAY(),"ⓘ будущая дата","✓ ОК")))))))</f>
        <v/>
      </c>
      <c r="I150" s="66">
        <f>IF(COUNTA(B150:G150)=0,"",IF(D150&lt;&gt;"",D150,IF(B150="","",DATE(YEAR(B150),MONTH(B150),1))))</f>
        <v/>
      </c>
    </row>
    <row r="151" ht="22" customHeight="1">
      <c r="A151" s="60">
        <f>IF(B151="","",ROW()-6)</f>
        <v/>
      </c>
      <c r="B151" s="61" t="n"/>
      <c r="C151" s="62" t="n"/>
      <c r="D151" s="63" t="n"/>
      <c r="E151" s="64" t="n"/>
      <c r="F151" s="62" t="n"/>
      <c r="G151" s="62" t="n"/>
      <c r="H151" s="65">
        <f>IF(COUNTA(B151:G151)=0,"",IF(B151="","⚠ нет даты",IF(C151="","⚠ нет категории",IF(NOT(ISNUMBER(E151)),"⚠ нет суммы",IF(E151&lt;=0,"⚠ сумма ≤ 0",IF(AND(Главная!$B$7&lt;&gt;"",B151&lt;Главная!$B$7),"⚠ дата до договора",IF(B151&gt;TODAY(),"ⓘ будущая дата","✓ ОК")))))))</f>
        <v/>
      </c>
      <c r="I151" s="66">
        <f>IF(COUNTA(B151:G151)=0,"",IF(D151&lt;&gt;"",D151,IF(B151="","",DATE(YEAR(B151),MONTH(B151),1))))</f>
        <v/>
      </c>
    </row>
    <row r="152" ht="22" customHeight="1">
      <c r="A152" s="60">
        <f>IF(B152="","",ROW()-6)</f>
        <v/>
      </c>
      <c r="B152" s="61" t="n"/>
      <c r="C152" s="62" t="n"/>
      <c r="D152" s="63" t="n"/>
      <c r="E152" s="64" t="n"/>
      <c r="F152" s="62" t="n"/>
      <c r="G152" s="62" t="n"/>
      <c r="H152" s="65">
        <f>IF(COUNTA(B152:G152)=0,"",IF(B152="","⚠ нет даты",IF(C152="","⚠ нет категории",IF(NOT(ISNUMBER(E152)),"⚠ нет суммы",IF(E152&lt;=0,"⚠ сумма ≤ 0",IF(AND(Главная!$B$7&lt;&gt;"",B152&lt;Главная!$B$7),"⚠ дата до договора",IF(B152&gt;TODAY(),"ⓘ будущая дата","✓ ОК")))))))</f>
        <v/>
      </c>
      <c r="I152" s="66">
        <f>IF(COUNTA(B152:G152)=0,"",IF(D152&lt;&gt;"",D152,IF(B152="","",DATE(YEAR(B152),MONTH(B152),1))))</f>
        <v/>
      </c>
    </row>
    <row r="153" ht="22" customHeight="1">
      <c r="A153" s="60">
        <f>IF(B153="","",ROW()-6)</f>
        <v/>
      </c>
      <c r="B153" s="61" t="n"/>
      <c r="C153" s="62" t="n"/>
      <c r="D153" s="63" t="n"/>
      <c r="E153" s="64" t="n"/>
      <c r="F153" s="62" t="n"/>
      <c r="G153" s="62" t="n"/>
      <c r="H153" s="65">
        <f>IF(COUNTA(B153:G153)=0,"",IF(B153="","⚠ нет даты",IF(C153="","⚠ нет категории",IF(NOT(ISNUMBER(E153)),"⚠ нет суммы",IF(E153&lt;=0,"⚠ сумма ≤ 0",IF(AND(Главная!$B$7&lt;&gt;"",B153&lt;Главная!$B$7),"⚠ дата до договора",IF(B153&gt;TODAY(),"ⓘ будущая дата","✓ ОК")))))))</f>
        <v/>
      </c>
      <c r="I153" s="66">
        <f>IF(COUNTA(B153:G153)=0,"",IF(D153&lt;&gt;"",D153,IF(B153="","",DATE(YEAR(B153),MONTH(B153),1))))</f>
        <v/>
      </c>
    </row>
    <row r="154" ht="22" customHeight="1">
      <c r="A154" s="60">
        <f>IF(B154="","",ROW()-6)</f>
        <v/>
      </c>
      <c r="B154" s="61" t="n"/>
      <c r="C154" s="62" t="n"/>
      <c r="D154" s="63" t="n"/>
      <c r="E154" s="64" t="n"/>
      <c r="F154" s="62" t="n"/>
      <c r="G154" s="62" t="n"/>
      <c r="H154" s="65">
        <f>IF(COUNTA(B154:G154)=0,"",IF(B154="","⚠ нет даты",IF(C154="","⚠ нет категории",IF(NOT(ISNUMBER(E154)),"⚠ нет суммы",IF(E154&lt;=0,"⚠ сумма ≤ 0",IF(AND(Главная!$B$7&lt;&gt;"",B154&lt;Главная!$B$7),"⚠ дата до договора",IF(B154&gt;TODAY(),"ⓘ будущая дата","✓ ОК")))))))</f>
        <v/>
      </c>
      <c r="I154" s="66">
        <f>IF(COUNTA(B154:G154)=0,"",IF(D154&lt;&gt;"",D154,IF(B154="","",DATE(YEAR(B154),MONTH(B154),1))))</f>
        <v/>
      </c>
    </row>
    <row r="155" ht="22" customHeight="1">
      <c r="A155" s="60">
        <f>IF(B155="","",ROW()-6)</f>
        <v/>
      </c>
      <c r="B155" s="61" t="n"/>
      <c r="C155" s="62" t="n"/>
      <c r="D155" s="63" t="n"/>
      <c r="E155" s="64" t="n"/>
      <c r="F155" s="62" t="n"/>
      <c r="G155" s="62" t="n"/>
      <c r="H155" s="65">
        <f>IF(COUNTA(B155:G155)=0,"",IF(B155="","⚠ нет даты",IF(C155="","⚠ нет категории",IF(NOT(ISNUMBER(E155)),"⚠ нет суммы",IF(E155&lt;=0,"⚠ сумма ≤ 0",IF(AND(Главная!$B$7&lt;&gt;"",B155&lt;Главная!$B$7),"⚠ дата до договора",IF(B155&gt;TODAY(),"ⓘ будущая дата","✓ ОК")))))))</f>
        <v/>
      </c>
      <c r="I155" s="66">
        <f>IF(COUNTA(B155:G155)=0,"",IF(D155&lt;&gt;"",D155,IF(B155="","",DATE(YEAR(B155),MONTH(B155),1))))</f>
        <v/>
      </c>
    </row>
    <row r="156" ht="22" customHeight="1">
      <c r="A156" s="60">
        <f>IF(B156="","",ROW()-6)</f>
        <v/>
      </c>
      <c r="B156" s="61" t="n"/>
      <c r="C156" s="62" t="n"/>
      <c r="D156" s="63" t="n"/>
      <c r="E156" s="64" t="n"/>
      <c r="F156" s="62" t="n"/>
      <c r="G156" s="62" t="n"/>
      <c r="H156" s="65">
        <f>IF(COUNTA(B156:G156)=0,"",IF(B156="","⚠ нет даты",IF(C156="","⚠ нет категории",IF(NOT(ISNUMBER(E156)),"⚠ нет суммы",IF(E156&lt;=0,"⚠ сумма ≤ 0",IF(AND(Главная!$B$7&lt;&gt;"",B156&lt;Главная!$B$7),"⚠ дата до договора",IF(B156&gt;TODAY(),"ⓘ будущая дата","✓ ОК")))))))</f>
        <v/>
      </c>
      <c r="I156" s="66">
        <f>IF(COUNTA(B156:G156)=0,"",IF(D156&lt;&gt;"",D156,IF(B156="","",DATE(YEAR(B156),MONTH(B156),1))))</f>
        <v/>
      </c>
    </row>
    <row r="157" ht="22" customHeight="1">
      <c r="A157" s="60">
        <f>IF(B157="","",ROW()-6)</f>
        <v/>
      </c>
      <c r="B157" s="61" t="n"/>
      <c r="C157" s="62" t="n"/>
      <c r="D157" s="63" t="n"/>
      <c r="E157" s="64" t="n"/>
      <c r="F157" s="62" t="n"/>
      <c r="G157" s="62" t="n"/>
      <c r="H157" s="65">
        <f>IF(COUNTA(B157:G157)=0,"",IF(B157="","⚠ нет даты",IF(C157="","⚠ нет категории",IF(NOT(ISNUMBER(E157)),"⚠ нет суммы",IF(E157&lt;=0,"⚠ сумма ≤ 0",IF(AND(Главная!$B$7&lt;&gt;"",B157&lt;Главная!$B$7),"⚠ дата до договора",IF(B157&gt;TODAY(),"ⓘ будущая дата","✓ ОК")))))))</f>
        <v/>
      </c>
      <c r="I157" s="66">
        <f>IF(COUNTA(B157:G157)=0,"",IF(D157&lt;&gt;"",D157,IF(B157="","",DATE(YEAR(B157),MONTH(B157),1))))</f>
        <v/>
      </c>
    </row>
    <row r="158" ht="22" customHeight="1">
      <c r="A158" s="60">
        <f>IF(B158="","",ROW()-6)</f>
        <v/>
      </c>
      <c r="B158" s="61" t="n"/>
      <c r="C158" s="62" t="n"/>
      <c r="D158" s="63" t="n"/>
      <c r="E158" s="64" t="n"/>
      <c r="F158" s="62" t="n"/>
      <c r="G158" s="62" t="n"/>
      <c r="H158" s="65">
        <f>IF(COUNTA(B158:G158)=0,"",IF(B158="","⚠ нет даты",IF(C158="","⚠ нет категории",IF(NOT(ISNUMBER(E158)),"⚠ нет суммы",IF(E158&lt;=0,"⚠ сумма ≤ 0",IF(AND(Главная!$B$7&lt;&gt;"",B158&lt;Главная!$B$7),"⚠ дата до договора",IF(B158&gt;TODAY(),"ⓘ будущая дата","✓ ОК")))))))</f>
        <v/>
      </c>
      <c r="I158" s="66">
        <f>IF(COUNTA(B158:G158)=0,"",IF(D158&lt;&gt;"",D158,IF(B158="","",DATE(YEAR(B158),MONTH(B158),1))))</f>
        <v/>
      </c>
    </row>
    <row r="159" ht="22" customHeight="1">
      <c r="A159" s="60">
        <f>IF(B159="","",ROW()-6)</f>
        <v/>
      </c>
      <c r="B159" s="61" t="n"/>
      <c r="C159" s="62" t="n"/>
      <c r="D159" s="63" t="n"/>
      <c r="E159" s="64" t="n"/>
      <c r="F159" s="62" t="n"/>
      <c r="G159" s="62" t="n"/>
      <c r="H159" s="65">
        <f>IF(COUNTA(B159:G159)=0,"",IF(B159="","⚠ нет даты",IF(C159="","⚠ нет категории",IF(NOT(ISNUMBER(E159)),"⚠ нет суммы",IF(E159&lt;=0,"⚠ сумма ≤ 0",IF(AND(Главная!$B$7&lt;&gt;"",B159&lt;Главная!$B$7),"⚠ дата до договора",IF(B159&gt;TODAY(),"ⓘ будущая дата","✓ ОК")))))))</f>
        <v/>
      </c>
      <c r="I159" s="66">
        <f>IF(COUNTA(B159:G159)=0,"",IF(D159&lt;&gt;"",D159,IF(B159="","",DATE(YEAR(B159),MONTH(B159),1))))</f>
        <v/>
      </c>
    </row>
    <row r="160" ht="22" customHeight="1">
      <c r="A160" s="60">
        <f>IF(B160="","",ROW()-6)</f>
        <v/>
      </c>
      <c r="B160" s="61" t="n"/>
      <c r="C160" s="62" t="n"/>
      <c r="D160" s="63" t="n"/>
      <c r="E160" s="64" t="n"/>
      <c r="F160" s="62" t="n"/>
      <c r="G160" s="62" t="n"/>
      <c r="H160" s="65">
        <f>IF(COUNTA(B160:G160)=0,"",IF(B160="","⚠ нет даты",IF(C160="","⚠ нет категории",IF(NOT(ISNUMBER(E160)),"⚠ нет суммы",IF(E160&lt;=0,"⚠ сумма ≤ 0",IF(AND(Главная!$B$7&lt;&gt;"",B160&lt;Главная!$B$7),"⚠ дата до договора",IF(B160&gt;TODAY(),"ⓘ будущая дата","✓ ОК")))))))</f>
        <v/>
      </c>
      <c r="I160" s="66">
        <f>IF(COUNTA(B160:G160)=0,"",IF(D160&lt;&gt;"",D160,IF(B160="","",DATE(YEAR(B160),MONTH(B160),1))))</f>
        <v/>
      </c>
    </row>
    <row r="161" ht="22" customHeight="1">
      <c r="A161" s="60">
        <f>IF(B161="","",ROW()-6)</f>
        <v/>
      </c>
      <c r="B161" s="61" t="n"/>
      <c r="C161" s="62" t="n"/>
      <c r="D161" s="63" t="n"/>
      <c r="E161" s="64" t="n"/>
      <c r="F161" s="62" t="n"/>
      <c r="G161" s="62" t="n"/>
      <c r="H161" s="65">
        <f>IF(COUNTA(B161:G161)=0,"",IF(B161="","⚠ нет даты",IF(C161="","⚠ нет категории",IF(NOT(ISNUMBER(E161)),"⚠ нет суммы",IF(E161&lt;=0,"⚠ сумма ≤ 0",IF(AND(Главная!$B$7&lt;&gt;"",B161&lt;Главная!$B$7),"⚠ дата до договора",IF(B161&gt;TODAY(),"ⓘ будущая дата","✓ ОК")))))))</f>
        <v/>
      </c>
      <c r="I161" s="66">
        <f>IF(COUNTA(B161:G161)=0,"",IF(D161&lt;&gt;"",D161,IF(B161="","",DATE(YEAR(B161),MONTH(B161),1))))</f>
        <v/>
      </c>
    </row>
    <row r="162" ht="22" customHeight="1">
      <c r="A162" s="60">
        <f>IF(B162="","",ROW()-6)</f>
        <v/>
      </c>
      <c r="B162" s="61" t="n"/>
      <c r="C162" s="62" t="n"/>
      <c r="D162" s="63" t="n"/>
      <c r="E162" s="64" t="n"/>
      <c r="F162" s="62" t="n"/>
      <c r="G162" s="62" t="n"/>
      <c r="H162" s="65">
        <f>IF(COUNTA(B162:G162)=0,"",IF(B162="","⚠ нет даты",IF(C162="","⚠ нет категории",IF(NOT(ISNUMBER(E162)),"⚠ нет суммы",IF(E162&lt;=0,"⚠ сумма ≤ 0",IF(AND(Главная!$B$7&lt;&gt;"",B162&lt;Главная!$B$7),"⚠ дата до договора",IF(B162&gt;TODAY(),"ⓘ будущая дата","✓ ОК")))))))</f>
        <v/>
      </c>
      <c r="I162" s="66">
        <f>IF(COUNTA(B162:G162)=0,"",IF(D162&lt;&gt;"",D162,IF(B162="","",DATE(YEAR(B162),MONTH(B162),1))))</f>
        <v/>
      </c>
    </row>
    <row r="163" ht="22" customHeight="1">
      <c r="A163" s="60">
        <f>IF(B163="","",ROW()-6)</f>
        <v/>
      </c>
      <c r="B163" s="61" t="n"/>
      <c r="C163" s="62" t="n"/>
      <c r="D163" s="63" t="n"/>
      <c r="E163" s="64" t="n"/>
      <c r="F163" s="62" t="n"/>
      <c r="G163" s="62" t="n"/>
      <c r="H163" s="65">
        <f>IF(COUNTA(B163:G163)=0,"",IF(B163="","⚠ нет даты",IF(C163="","⚠ нет категории",IF(NOT(ISNUMBER(E163)),"⚠ нет суммы",IF(E163&lt;=0,"⚠ сумма ≤ 0",IF(AND(Главная!$B$7&lt;&gt;"",B163&lt;Главная!$B$7),"⚠ дата до договора",IF(B163&gt;TODAY(),"ⓘ будущая дата","✓ ОК")))))))</f>
        <v/>
      </c>
      <c r="I163" s="66">
        <f>IF(COUNTA(B163:G163)=0,"",IF(D163&lt;&gt;"",D163,IF(B163="","",DATE(YEAR(B163),MONTH(B163),1))))</f>
        <v/>
      </c>
    </row>
    <row r="164" ht="22" customHeight="1">
      <c r="A164" s="60">
        <f>IF(B164="","",ROW()-6)</f>
        <v/>
      </c>
      <c r="B164" s="61" t="n"/>
      <c r="C164" s="62" t="n"/>
      <c r="D164" s="63" t="n"/>
      <c r="E164" s="64" t="n"/>
      <c r="F164" s="62" t="n"/>
      <c r="G164" s="62" t="n"/>
      <c r="H164" s="65">
        <f>IF(COUNTA(B164:G164)=0,"",IF(B164="","⚠ нет даты",IF(C164="","⚠ нет категории",IF(NOT(ISNUMBER(E164)),"⚠ нет суммы",IF(E164&lt;=0,"⚠ сумма ≤ 0",IF(AND(Главная!$B$7&lt;&gt;"",B164&lt;Главная!$B$7),"⚠ дата до договора",IF(B164&gt;TODAY(),"ⓘ будущая дата","✓ ОК")))))))</f>
        <v/>
      </c>
      <c r="I164" s="66">
        <f>IF(COUNTA(B164:G164)=0,"",IF(D164&lt;&gt;"",D164,IF(B164="","",DATE(YEAR(B164),MONTH(B164),1))))</f>
        <v/>
      </c>
    </row>
    <row r="165" ht="22" customHeight="1">
      <c r="A165" s="60">
        <f>IF(B165="","",ROW()-6)</f>
        <v/>
      </c>
      <c r="B165" s="61" t="n"/>
      <c r="C165" s="62" t="n"/>
      <c r="D165" s="63" t="n"/>
      <c r="E165" s="64" t="n"/>
      <c r="F165" s="62" t="n"/>
      <c r="G165" s="62" t="n"/>
      <c r="H165" s="65">
        <f>IF(COUNTA(B165:G165)=0,"",IF(B165="","⚠ нет даты",IF(C165="","⚠ нет категории",IF(NOT(ISNUMBER(E165)),"⚠ нет суммы",IF(E165&lt;=0,"⚠ сумма ≤ 0",IF(AND(Главная!$B$7&lt;&gt;"",B165&lt;Главная!$B$7),"⚠ дата до договора",IF(B165&gt;TODAY(),"ⓘ будущая дата","✓ ОК")))))))</f>
        <v/>
      </c>
      <c r="I165" s="66">
        <f>IF(COUNTA(B165:G165)=0,"",IF(D165&lt;&gt;"",D165,IF(B165="","",DATE(YEAR(B165),MONTH(B165),1))))</f>
        <v/>
      </c>
    </row>
    <row r="166" ht="22" customHeight="1">
      <c r="A166" s="60">
        <f>IF(B166="","",ROW()-6)</f>
        <v/>
      </c>
      <c r="B166" s="61" t="n"/>
      <c r="C166" s="62" t="n"/>
      <c r="D166" s="63" t="n"/>
      <c r="E166" s="64" t="n"/>
      <c r="F166" s="62" t="n"/>
      <c r="G166" s="62" t="n"/>
      <c r="H166" s="65">
        <f>IF(COUNTA(B166:G166)=0,"",IF(B166="","⚠ нет даты",IF(C166="","⚠ нет категории",IF(NOT(ISNUMBER(E166)),"⚠ нет суммы",IF(E166&lt;=0,"⚠ сумма ≤ 0",IF(AND(Главная!$B$7&lt;&gt;"",B166&lt;Главная!$B$7),"⚠ дата до договора",IF(B166&gt;TODAY(),"ⓘ будущая дата","✓ ОК")))))))</f>
        <v/>
      </c>
      <c r="I166" s="66">
        <f>IF(COUNTA(B166:G166)=0,"",IF(D166&lt;&gt;"",D166,IF(B166="","",DATE(YEAR(B166),MONTH(B166),1))))</f>
        <v/>
      </c>
    </row>
    <row r="167" ht="22" customHeight="1">
      <c r="A167" s="60">
        <f>IF(B167="","",ROW()-6)</f>
        <v/>
      </c>
      <c r="B167" s="61" t="n"/>
      <c r="C167" s="62" t="n"/>
      <c r="D167" s="63" t="n"/>
      <c r="E167" s="64" t="n"/>
      <c r="F167" s="62" t="n"/>
      <c r="G167" s="62" t="n"/>
      <c r="H167" s="65">
        <f>IF(COUNTA(B167:G167)=0,"",IF(B167="","⚠ нет даты",IF(C167="","⚠ нет категории",IF(NOT(ISNUMBER(E167)),"⚠ нет суммы",IF(E167&lt;=0,"⚠ сумма ≤ 0",IF(AND(Главная!$B$7&lt;&gt;"",B167&lt;Главная!$B$7),"⚠ дата до договора",IF(B167&gt;TODAY(),"ⓘ будущая дата","✓ ОК")))))))</f>
        <v/>
      </c>
      <c r="I167" s="66">
        <f>IF(COUNTA(B167:G167)=0,"",IF(D167&lt;&gt;"",D167,IF(B167="","",DATE(YEAR(B167),MONTH(B167),1))))</f>
        <v/>
      </c>
    </row>
    <row r="168" ht="22" customHeight="1">
      <c r="A168" s="60">
        <f>IF(B168="","",ROW()-6)</f>
        <v/>
      </c>
      <c r="B168" s="61" t="n"/>
      <c r="C168" s="62" t="n"/>
      <c r="D168" s="63" t="n"/>
      <c r="E168" s="64" t="n"/>
      <c r="F168" s="62" t="n"/>
      <c r="G168" s="62" t="n"/>
      <c r="H168" s="65">
        <f>IF(COUNTA(B168:G168)=0,"",IF(B168="","⚠ нет даты",IF(C168="","⚠ нет категории",IF(NOT(ISNUMBER(E168)),"⚠ нет суммы",IF(E168&lt;=0,"⚠ сумма ≤ 0",IF(AND(Главная!$B$7&lt;&gt;"",B168&lt;Главная!$B$7),"⚠ дата до договора",IF(B168&gt;TODAY(),"ⓘ будущая дата","✓ ОК")))))))</f>
        <v/>
      </c>
      <c r="I168" s="66">
        <f>IF(COUNTA(B168:G168)=0,"",IF(D168&lt;&gt;"",D168,IF(B168="","",DATE(YEAR(B168),MONTH(B168),1))))</f>
        <v/>
      </c>
    </row>
    <row r="169" ht="22" customHeight="1">
      <c r="A169" s="60">
        <f>IF(B169="","",ROW()-6)</f>
        <v/>
      </c>
      <c r="B169" s="61" t="n"/>
      <c r="C169" s="62" t="n"/>
      <c r="D169" s="63" t="n"/>
      <c r="E169" s="64" t="n"/>
      <c r="F169" s="62" t="n"/>
      <c r="G169" s="62" t="n"/>
      <c r="H169" s="65">
        <f>IF(COUNTA(B169:G169)=0,"",IF(B169="","⚠ нет даты",IF(C169="","⚠ нет категории",IF(NOT(ISNUMBER(E169)),"⚠ нет суммы",IF(E169&lt;=0,"⚠ сумма ≤ 0",IF(AND(Главная!$B$7&lt;&gt;"",B169&lt;Главная!$B$7),"⚠ дата до договора",IF(B169&gt;TODAY(),"ⓘ будущая дата","✓ ОК")))))))</f>
        <v/>
      </c>
      <c r="I169" s="66">
        <f>IF(COUNTA(B169:G169)=0,"",IF(D169&lt;&gt;"",D169,IF(B169="","",DATE(YEAR(B169),MONTH(B169),1))))</f>
        <v/>
      </c>
    </row>
    <row r="170" ht="22" customHeight="1">
      <c r="A170" s="60">
        <f>IF(B170="","",ROW()-6)</f>
        <v/>
      </c>
      <c r="B170" s="61" t="n"/>
      <c r="C170" s="62" t="n"/>
      <c r="D170" s="63" t="n"/>
      <c r="E170" s="64" t="n"/>
      <c r="F170" s="62" t="n"/>
      <c r="G170" s="62" t="n"/>
      <c r="H170" s="65">
        <f>IF(COUNTA(B170:G170)=0,"",IF(B170="","⚠ нет даты",IF(C170="","⚠ нет категории",IF(NOT(ISNUMBER(E170)),"⚠ нет суммы",IF(E170&lt;=0,"⚠ сумма ≤ 0",IF(AND(Главная!$B$7&lt;&gt;"",B170&lt;Главная!$B$7),"⚠ дата до договора",IF(B170&gt;TODAY(),"ⓘ будущая дата","✓ ОК")))))))</f>
        <v/>
      </c>
      <c r="I170" s="66">
        <f>IF(COUNTA(B170:G170)=0,"",IF(D170&lt;&gt;"",D170,IF(B170="","",DATE(YEAR(B170),MONTH(B170),1))))</f>
        <v/>
      </c>
    </row>
    <row r="171" ht="22" customHeight="1">
      <c r="A171" s="60">
        <f>IF(B171="","",ROW()-6)</f>
        <v/>
      </c>
      <c r="B171" s="61" t="n"/>
      <c r="C171" s="62" t="n"/>
      <c r="D171" s="63" t="n"/>
      <c r="E171" s="64" t="n"/>
      <c r="F171" s="62" t="n"/>
      <c r="G171" s="62" t="n"/>
      <c r="H171" s="65">
        <f>IF(COUNTA(B171:G171)=0,"",IF(B171="","⚠ нет даты",IF(C171="","⚠ нет категории",IF(NOT(ISNUMBER(E171)),"⚠ нет суммы",IF(E171&lt;=0,"⚠ сумма ≤ 0",IF(AND(Главная!$B$7&lt;&gt;"",B171&lt;Главная!$B$7),"⚠ дата до договора",IF(B171&gt;TODAY(),"ⓘ будущая дата","✓ ОК")))))))</f>
        <v/>
      </c>
      <c r="I171" s="66">
        <f>IF(COUNTA(B171:G171)=0,"",IF(D171&lt;&gt;"",D171,IF(B171="","",DATE(YEAR(B171),MONTH(B171),1))))</f>
        <v/>
      </c>
    </row>
    <row r="172" ht="22" customHeight="1">
      <c r="A172" s="60">
        <f>IF(B172="","",ROW()-6)</f>
        <v/>
      </c>
      <c r="B172" s="61" t="n"/>
      <c r="C172" s="62" t="n"/>
      <c r="D172" s="63" t="n"/>
      <c r="E172" s="64" t="n"/>
      <c r="F172" s="62" t="n"/>
      <c r="G172" s="62" t="n"/>
      <c r="H172" s="65">
        <f>IF(COUNTA(B172:G172)=0,"",IF(B172="","⚠ нет даты",IF(C172="","⚠ нет категории",IF(NOT(ISNUMBER(E172)),"⚠ нет суммы",IF(E172&lt;=0,"⚠ сумма ≤ 0",IF(AND(Главная!$B$7&lt;&gt;"",B172&lt;Главная!$B$7),"⚠ дата до договора",IF(B172&gt;TODAY(),"ⓘ будущая дата","✓ ОК")))))))</f>
        <v/>
      </c>
      <c r="I172" s="66">
        <f>IF(COUNTA(B172:G172)=0,"",IF(D172&lt;&gt;"",D172,IF(B172="","",DATE(YEAR(B172),MONTH(B172),1))))</f>
        <v/>
      </c>
    </row>
    <row r="173" ht="22" customHeight="1">
      <c r="A173" s="60">
        <f>IF(B173="","",ROW()-6)</f>
        <v/>
      </c>
      <c r="B173" s="61" t="n"/>
      <c r="C173" s="62" t="n"/>
      <c r="D173" s="63" t="n"/>
      <c r="E173" s="64" t="n"/>
      <c r="F173" s="62" t="n"/>
      <c r="G173" s="62" t="n"/>
      <c r="H173" s="65">
        <f>IF(COUNTA(B173:G173)=0,"",IF(B173="","⚠ нет даты",IF(C173="","⚠ нет категории",IF(NOT(ISNUMBER(E173)),"⚠ нет суммы",IF(E173&lt;=0,"⚠ сумма ≤ 0",IF(AND(Главная!$B$7&lt;&gt;"",B173&lt;Главная!$B$7),"⚠ дата до договора",IF(B173&gt;TODAY(),"ⓘ будущая дата","✓ ОК")))))))</f>
        <v/>
      </c>
      <c r="I173" s="66">
        <f>IF(COUNTA(B173:G173)=0,"",IF(D173&lt;&gt;"",D173,IF(B173="","",DATE(YEAR(B173),MONTH(B173),1))))</f>
        <v/>
      </c>
    </row>
    <row r="174" ht="22" customHeight="1">
      <c r="A174" s="60">
        <f>IF(B174="","",ROW()-6)</f>
        <v/>
      </c>
      <c r="B174" s="61" t="n"/>
      <c r="C174" s="62" t="n"/>
      <c r="D174" s="63" t="n"/>
      <c r="E174" s="64" t="n"/>
      <c r="F174" s="62" t="n"/>
      <c r="G174" s="62" t="n"/>
      <c r="H174" s="65">
        <f>IF(COUNTA(B174:G174)=0,"",IF(B174="","⚠ нет даты",IF(C174="","⚠ нет категории",IF(NOT(ISNUMBER(E174)),"⚠ нет суммы",IF(E174&lt;=0,"⚠ сумма ≤ 0",IF(AND(Главная!$B$7&lt;&gt;"",B174&lt;Главная!$B$7),"⚠ дата до договора",IF(B174&gt;TODAY(),"ⓘ будущая дата","✓ ОК")))))))</f>
        <v/>
      </c>
      <c r="I174" s="66">
        <f>IF(COUNTA(B174:G174)=0,"",IF(D174&lt;&gt;"",D174,IF(B174="","",DATE(YEAR(B174),MONTH(B174),1))))</f>
        <v/>
      </c>
    </row>
    <row r="175" ht="22" customHeight="1">
      <c r="A175" s="60">
        <f>IF(B175="","",ROW()-6)</f>
        <v/>
      </c>
      <c r="B175" s="61" t="n"/>
      <c r="C175" s="62" t="n"/>
      <c r="D175" s="63" t="n"/>
      <c r="E175" s="64" t="n"/>
      <c r="F175" s="62" t="n"/>
      <c r="G175" s="62" t="n"/>
      <c r="H175" s="65">
        <f>IF(COUNTA(B175:G175)=0,"",IF(B175="","⚠ нет даты",IF(C175="","⚠ нет категории",IF(NOT(ISNUMBER(E175)),"⚠ нет суммы",IF(E175&lt;=0,"⚠ сумма ≤ 0",IF(AND(Главная!$B$7&lt;&gt;"",B175&lt;Главная!$B$7),"⚠ дата до договора",IF(B175&gt;TODAY(),"ⓘ будущая дата","✓ ОК")))))))</f>
        <v/>
      </c>
      <c r="I175" s="66">
        <f>IF(COUNTA(B175:G175)=0,"",IF(D175&lt;&gt;"",D175,IF(B175="","",DATE(YEAR(B175),MONTH(B175),1))))</f>
        <v/>
      </c>
    </row>
    <row r="176" ht="22" customHeight="1">
      <c r="A176" s="60">
        <f>IF(B176="","",ROW()-6)</f>
        <v/>
      </c>
      <c r="B176" s="61" t="n"/>
      <c r="C176" s="62" t="n"/>
      <c r="D176" s="63" t="n"/>
      <c r="E176" s="64" t="n"/>
      <c r="F176" s="62" t="n"/>
      <c r="G176" s="62" t="n"/>
      <c r="H176" s="65">
        <f>IF(COUNTA(B176:G176)=0,"",IF(B176="","⚠ нет даты",IF(C176="","⚠ нет категории",IF(NOT(ISNUMBER(E176)),"⚠ нет суммы",IF(E176&lt;=0,"⚠ сумма ≤ 0",IF(AND(Главная!$B$7&lt;&gt;"",B176&lt;Главная!$B$7),"⚠ дата до договора",IF(B176&gt;TODAY(),"ⓘ будущая дата","✓ ОК")))))))</f>
        <v/>
      </c>
      <c r="I176" s="66">
        <f>IF(COUNTA(B176:G176)=0,"",IF(D176&lt;&gt;"",D176,IF(B176="","",DATE(YEAR(B176),MONTH(B176),1))))</f>
        <v/>
      </c>
    </row>
    <row r="177" ht="22" customHeight="1">
      <c r="A177" s="60">
        <f>IF(B177="","",ROW()-6)</f>
        <v/>
      </c>
      <c r="B177" s="61" t="n"/>
      <c r="C177" s="62" t="n"/>
      <c r="D177" s="63" t="n"/>
      <c r="E177" s="64" t="n"/>
      <c r="F177" s="62" t="n"/>
      <c r="G177" s="62" t="n"/>
      <c r="H177" s="65">
        <f>IF(COUNTA(B177:G177)=0,"",IF(B177="","⚠ нет даты",IF(C177="","⚠ нет категории",IF(NOT(ISNUMBER(E177)),"⚠ нет суммы",IF(E177&lt;=0,"⚠ сумма ≤ 0",IF(AND(Главная!$B$7&lt;&gt;"",B177&lt;Главная!$B$7),"⚠ дата до договора",IF(B177&gt;TODAY(),"ⓘ будущая дата","✓ ОК")))))))</f>
        <v/>
      </c>
      <c r="I177" s="66">
        <f>IF(COUNTA(B177:G177)=0,"",IF(D177&lt;&gt;"",D177,IF(B177="","",DATE(YEAR(B177),MONTH(B177),1))))</f>
        <v/>
      </c>
    </row>
    <row r="178" ht="22" customHeight="1">
      <c r="A178" s="60">
        <f>IF(B178="","",ROW()-6)</f>
        <v/>
      </c>
      <c r="B178" s="61" t="n"/>
      <c r="C178" s="62" t="n"/>
      <c r="D178" s="63" t="n"/>
      <c r="E178" s="64" t="n"/>
      <c r="F178" s="62" t="n"/>
      <c r="G178" s="62" t="n"/>
      <c r="H178" s="65">
        <f>IF(COUNTA(B178:G178)=0,"",IF(B178="","⚠ нет даты",IF(C178="","⚠ нет категории",IF(NOT(ISNUMBER(E178)),"⚠ нет суммы",IF(E178&lt;=0,"⚠ сумма ≤ 0",IF(AND(Главная!$B$7&lt;&gt;"",B178&lt;Главная!$B$7),"⚠ дата до договора",IF(B178&gt;TODAY(),"ⓘ будущая дата","✓ ОК")))))))</f>
        <v/>
      </c>
      <c r="I178" s="66">
        <f>IF(COUNTA(B178:G178)=0,"",IF(D178&lt;&gt;"",D178,IF(B178="","",DATE(YEAR(B178),MONTH(B178),1))))</f>
        <v/>
      </c>
    </row>
    <row r="179" ht="22" customHeight="1">
      <c r="A179" s="60">
        <f>IF(B179="","",ROW()-6)</f>
        <v/>
      </c>
      <c r="B179" s="61" t="n"/>
      <c r="C179" s="62" t="n"/>
      <c r="D179" s="63" t="n"/>
      <c r="E179" s="64" t="n"/>
      <c r="F179" s="62" t="n"/>
      <c r="G179" s="62" t="n"/>
      <c r="H179" s="65">
        <f>IF(COUNTA(B179:G179)=0,"",IF(B179="","⚠ нет даты",IF(C179="","⚠ нет категории",IF(NOT(ISNUMBER(E179)),"⚠ нет суммы",IF(E179&lt;=0,"⚠ сумма ≤ 0",IF(AND(Главная!$B$7&lt;&gt;"",B179&lt;Главная!$B$7),"⚠ дата до договора",IF(B179&gt;TODAY(),"ⓘ будущая дата","✓ ОК")))))))</f>
        <v/>
      </c>
      <c r="I179" s="66">
        <f>IF(COUNTA(B179:G179)=0,"",IF(D179&lt;&gt;"",D179,IF(B179="","",DATE(YEAR(B179),MONTH(B179),1))))</f>
        <v/>
      </c>
    </row>
    <row r="180" ht="22" customHeight="1">
      <c r="A180" s="60">
        <f>IF(B180="","",ROW()-6)</f>
        <v/>
      </c>
      <c r="B180" s="61" t="n"/>
      <c r="C180" s="62" t="n"/>
      <c r="D180" s="63" t="n"/>
      <c r="E180" s="64" t="n"/>
      <c r="F180" s="62" t="n"/>
      <c r="G180" s="62" t="n"/>
      <c r="H180" s="65">
        <f>IF(COUNTA(B180:G180)=0,"",IF(B180="","⚠ нет даты",IF(C180="","⚠ нет категории",IF(NOT(ISNUMBER(E180)),"⚠ нет суммы",IF(E180&lt;=0,"⚠ сумма ≤ 0",IF(AND(Главная!$B$7&lt;&gt;"",B180&lt;Главная!$B$7),"⚠ дата до договора",IF(B180&gt;TODAY(),"ⓘ будущая дата","✓ ОК")))))))</f>
        <v/>
      </c>
      <c r="I180" s="66">
        <f>IF(COUNTA(B180:G180)=0,"",IF(D180&lt;&gt;"",D180,IF(B180="","",DATE(YEAR(B180),MONTH(B180),1))))</f>
        <v/>
      </c>
    </row>
    <row r="181" ht="22" customHeight="1">
      <c r="A181" s="60">
        <f>IF(B181="","",ROW()-6)</f>
        <v/>
      </c>
      <c r="B181" s="61" t="n"/>
      <c r="C181" s="62" t="n"/>
      <c r="D181" s="63" t="n"/>
      <c r="E181" s="64" t="n"/>
      <c r="F181" s="62" t="n"/>
      <c r="G181" s="62" t="n"/>
      <c r="H181" s="65">
        <f>IF(COUNTA(B181:G181)=0,"",IF(B181="","⚠ нет даты",IF(C181="","⚠ нет категории",IF(NOT(ISNUMBER(E181)),"⚠ нет суммы",IF(E181&lt;=0,"⚠ сумма ≤ 0",IF(AND(Главная!$B$7&lt;&gt;"",B181&lt;Главная!$B$7),"⚠ дата до договора",IF(B181&gt;TODAY(),"ⓘ будущая дата","✓ ОК")))))))</f>
        <v/>
      </c>
      <c r="I181" s="66">
        <f>IF(COUNTA(B181:G181)=0,"",IF(D181&lt;&gt;"",D181,IF(B181="","",DATE(YEAR(B181),MONTH(B181),1))))</f>
        <v/>
      </c>
    </row>
    <row r="182" ht="22" customHeight="1">
      <c r="A182" s="60">
        <f>IF(B182="","",ROW()-6)</f>
        <v/>
      </c>
      <c r="B182" s="61" t="n"/>
      <c r="C182" s="62" t="n"/>
      <c r="D182" s="63" t="n"/>
      <c r="E182" s="64" t="n"/>
      <c r="F182" s="62" t="n"/>
      <c r="G182" s="62" t="n"/>
      <c r="H182" s="65">
        <f>IF(COUNTA(B182:G182)=0,"",IF(B182="","⚠ нет даты",IF(C182="","⚠ нет категории",IF(NOT(ISNUMBER(E182)),"⚠ нет суммы",IF(E182&lt;=0,"⚠ сумма ≤ 0",IF(AND(Главная!$B$7&lt;&gt;"",B182&lt;Главная!$B$7),"⚠ дата до договора",IF(B182&gt;TODAY(),"ⓘ будущая дата","✓ ОК")))))))</f>
        <v/>
      </c>
      <c r="I182" s="66">
        <f>IF(COUNTA(B182:G182)=0,"",IF(D182&lt;&gt;"",D182,IF(B182="","",DATE(YEAR(B182),MONTH(B182),1))))</f>
        <v/>
      </c>
    </row>
    <row r="183" ht="22" customHeight="1">
      <c r="A183" s="60">
        <f>IF(B183="","",ROW()-6)</f>
        <v/>
      </c>
      <c r="B183" s="61" t="n"/>
      <c r="C183" s="62" t="n"/>
      <c r="D183" s="63" t="n"/>
      <c r="E183" s="64" t="n"/>
      <c r="F183" s="62" t="n"/>
      <c r="G183" s="62" t="n"/>
      <c r="H183" s="65">
        <f>IF(COUNTA(B183:G183)=0,"",IF(B183="","⚠ нет даты",IF(C183="","⚠ нет категории",IF(NOT(ISNUMBER(E183)),"⚠ нет суммы",IF(E183&lt;=0,"⚠ сумма ≤ 0",IF(AND(Главная!$B$7&lt;&gt;"",B183&lt;Главная!$B$7),"⚠ дата до договора",IF(B183&gt;TODAY(),"ⓘ будущая дата","✓ ОК")))))))</f>
        <v/>
      </c>
      <c r="I183" s="66">
        <f>IF(COUNTA(B183:G183)=0,"",IF(D183&lt;&gt;"",D183,IF(B183="","",DATE(YEAR(B183),MONTH(B183),1))))</f>
        <v/>
      </c>
    </row>
    <row r="184" ht="22" customHeight="1">
      <c r="A184" s="60">
        <f>IF(B184="","",ROW()-6)</f>
        <v/>
      </c>
      <c r="B184" s="61" t="n"/>
      <c r="C184" s="62" t="n"/>
      <c r="D184" s="63" t="n"/>
      <c r="E184" s="64" t="n"/>
      <c r="F184" s="62" t="n"/>
      <c r="G184" s="62" t="n"/>
      <c r="H184" s="65">
        <f>IF(COUNTA(B184:G184)=0,"",IF(B184="","⚠ нет даты",IF(C184="","⚠ нет категории",IF(NOT(ISNUMBER(E184)),"⚠ нет суммы",IF(E184&lt;=0,"⚠ сумма ≤ 0",IF(AND(Главная!$B$7&lt;&gt;"",B184&lt;Главная!$B$7),"⚠ дата до договора",IF(B184&gt;TODAY(),"ⓘ будущая дата","✓ ОК")))))))</f>
        <v/>
      </c>
      <c r="I184" s="66">
        <f>IF(COUNTA(B184:G184)=0,"",IF(D184&lt;&gt;"",D184,IF(B184="","",DATE(YEAR(B184),MONTH(B184),1))))</f>
        <v/>
      </c>
    </row>
    <row r="185" ht="22" customHeight="1">
      <c r="A185" s="60">
        <f>IF(B185="","",ROW()-6)</f>
        <v/>
      </c>
      <c r="B185" s="61" t="n"/>
      <c r="C185" s="62" t="n"/>
      <c r="D185" s="63" t="n"/>
      <c r="E185" s="64" t="n"/>
      <c r="F185" s="62" t="n"/>
      <c r="G185" s="62" t="n"/>
      <c r="H185" s="65">
        <f>IF(COUNTA(B185:G185)=0,"",IF(B185="","⚠ нет даты",IF(C185="","⚠ нет категории",IF(NOT(ISNUMBER(E185)),"⚠ нет суммы",IF(E185&lt;=0,"⚠ сумма ≤ 0",IF(AND(Главная!$B$7&lt;&gt;"",B185&lt;Главная!$B$7),"⚠ дата до договора",IF(B185&gt;TODAY(),"ⓘ будущая дата","✓ ОК")))))))</f>
        <v/>
      </c>
      <c r="I185" s="66">
        <f>IF(COUNTA(B185:G185)=0,"",IF(D185&lt;&gt;"",D185,IF(B185="","",DATE(YEAR(B185),MONTH(B185),1))))</f>
        <v/>
      </c>
    </row>
    <row r="186" ht="22" customHeight="1">
      <c r="A186" s="60">
        <f>IF(B186="","",ROW()-6)</f>
        <v/>
      </c>
      <c r="B186" s="61" t="n"/>
      <c r="C186" s="62" t="n"/>
      <c r="D186" s="63" t="n"/>
      <c r="E186" s="64" t="n"/>
      <c r="F186" s="62" t="n"/>
      <c r="G186" s="62" t="n"/>
      <c r="H186" s="65">
        <f>IF(COUNTA(B186:G186)=0,"",IF(B186="","⚠ нет даты",IF(C186="","⚠ нет категории",IF(NOT(ISNUMBER(E186)),"⚠ нет суммы",IF(E186&lt;=0,"⚠ сумма ≤ 0",IF(AND(Главная!$B$7&lt;&gt;"",B186&lt;Главная!$B$7),"⚠ дата до договора",IF(B186&gt;TODAY(),"ⓘ будущая дата","✓ ОК")))))))</f>
        <v/>
      </c>
      <c r="I186" s="66">
        <f>IF(COUNTA(B186:G186)=0,"",IF(D186&lt;&gt;"",D186,IF(B186="","",DATE(YEAR(B186),MONTH(B186),1))))</f>
        <v/>
      </c>
    </row>
    <row r="187" ht="22" customHeight="1">
      <c r="A187" s="60">
        <f>IF(B187="","",ROW()-6)</f>
        <v/>
      </c>
      <c r="B187" s="61" t="n"/>
      <c r="C187" s="62" t="n"/>
      <c r="D187" s="63" t="n"/>
      <c r="E187" s="64" t="n"/>
      <c r="F187" s="62" t="n"/>
      <c r="G187" s="62" t="n"/>
      <c r="H187" s="65">
        <f>IF(COUNTA(B187:G187)=0,"",IF(B187="","⚠ нет даты",IF(C187="","⚠ нет категории",IF(NOT(ISNUMBER(E187)),"⚠ нет суммы",IF(E187&lt;=0,"⚠ сумма ≤ 0",IF(AND(Главная!$B$7&lt;&gt;"",B187&lt;Главная!$B$7),"⚠ дата до договора",IF(B187&gt;TODAY(),"ⓘ будущая дата","✓ ОК")))))))</f>
        <v/>
      </c>
      <c r="I187" s="66">
        <f>IF(COUNTA(B187:G187)=0,"",IF(D187&lt;&gt;"",D187,IF(B187="","",DATE(YEAR(B187),MONTH(B187),1))))</f>
        <v/>
      </c>
    </row>
    <row r="188" ht="22" customHeight="1">
      <c r="A188" s="60">
        <f>IF(B188="","",ROW()-6)</f>
        <v/>
      </c>
      <c r="B188" s="61" t="n"/>
      <c r="C188" s="62" t="n"/>
      <c r="D188" s="63" t="n"/>
      <c r="E188" s="64" t="n"/>
      <c r="F188" s="62" t="n"/>
      <c r="G188" s="62" t="n"/>
      <c r="H188" s="65">
        <f>IF(COUNTA(B188:G188)=0,"",IF(B188="","⚠ нет даты",IF(C188="","⚠ нет категории",IF(NOT(ISNUMBER(E188)),"⚠ нет суммы",IF(E188&lt;=0,"⚠ сумма ≤ 0",IF(AND(Главная!$B$7&lt;&gt;"",B188&lt;Главная!$B$7),"⚠ дата до договора",IF(B188&gt;TODAY(),"ⓘ будущая дата","✓ ОК")))))))</f>
        <v/>
      </c>
      <c r="I188" s="66">
        <f>IF(COUNTA(B188:G188)=0,"",IF(D188&lt;&gt;"",D188,IF(B188="","",DATE(YEAR(B188),MONTH(B188),1))))</f>
        <v/>
      </c>
    </row>
    <row r="189" ht="22" customHeight="1">
      <c r="A189" s="60">
        <f>IF(B189="","",ROW()-6)</f>
        <v/>
      </c>
      <c r="B189" s="61" t="n"/>
      <c r="C189" s="62" t="n"/>
      <c r="D189" s="63" t="n"/>
      <c r="E189" s="64" t="n"/>
      <c r="F189" s="62" t="n"/>
      <c r="G189" s="62" t="n"/>
      <c r="H189" s="65">
        <f>IF(COUNTA(B189:G189)=0,"",IF(B189="","⚠ нет даты",IF(C189="","⚠ нет категории",IF(NOT(ISNUMBER(E189)),"⚠ нет суммы",IF(E189&lt;=0,"⚠ сумма ≤ 0",IF(AND(Главная!$B$7&lt;&gt;"",B189&lt;Главная!$B$7),"⚠ дата до договора",IF(B189&gt;TODAY(),"ⓘ будущая дата","✓ ОК")))))))</f>
        <v/>
      </c>
      <c r="I189" s="66">
        <f>IF(COUNTA(B189:G189)=0,"",IF(D189&lt;&gt;"",D189,IF(B189="","",DATE(YEAR(B189),MONTH(B189),1))))</f>
        <v/>
      </c>
    </row>
    <row r="190" ht="22" customHeight="1">
      <c r="A190" s="60">
        <f>IF(B190="","",ROW()-6)</f>
        <v/>
      </c>
      <c r="B190" s="61" t="n"/>
      <c r="C190" s="62" t="n"/>
      <c r="D190" s="63" t="n"/>
      <c r="E190" s="64" t="n"/>
      <c r="F190" s="62" t="n"/>
      <c r="G190" s="62" t="n"/>
      <c r="H190" s="65">
        <f>IF(COUNTA(B190:G190)=0,"",IF(B190="","⚠ нет даты",IF(C190="","⚠ нет категории",IF(NOT(ISNUMBER(E190)),"⚠ нет суммы",IF(E190&lt;=0,"⚠ сумма ≤ 0",IF(AND(Главная!$B$7&lt;&gt;"",B190&lt;Главная!$B$7),"⚠ дата до договора",IF(B190&gt;TODAY(),"ⓘ будущая дата","✓ ОК")))))))</f>
        <v/>
      </c>
      <c r="I190" s="66">
        <f>IF(COUNTA(B190:G190)=0,"",IF(D190&lt;&gt;"",D190,IF(B190="","",DATE(YEAR(B190),MONTH(B190),1))))</f>
        <v/>
      </c>
    </row>
    <row r="191" ht="22" customHeight="1">
      <c r="A191" s="60">
        <f>IF(B191="","",ROW()-6)</f>
        <v/>
      </c>
      <c r="B191" s="61" t="n"/>
      <c r="C191" s="62" t="n"/>
      <c r="D191" s="63" t="n"/>
      <c r="E191" s="64" t="n"/>
      <c r="F191" s="62" t="n"/>
      <c r="G191" s="62" t="n"/>
      <c r="H191" s="65">
        <f>IF(COUNTA(B191:G191)=0,"",IF(B191="","⚠ нет даты",IF(C191="","⚠ нет категории",IF(NOT(ISNUMBER(E191)),"⚠ нет суммы",IF(E191&lt;=0,"⚠ сумма ≤ 0",IF(AND(Главная!$B$7&lt;&gt;"",B191&lt;Главная!$B$7),"⚠ дата до договора",IF(B191&gt;TODAY(),"ⓘ будущая дата","✓ ОК")))))))</f>
        <v/>
      </c>
      <c r="I191" s="66">
        <f>IF(COUNTA(B191:G191)=0,"",IF(D191&lt;&gt;"",D191,IF(B191="","",DATE(YEAR(B191),MONTH(B191),1))))</f>
        <v/>
      </c>
    </row>
    <row r="192" ht="22" customHeight="1">
      <c r="A192" s="60">
        <f>IF(B192="","",ROW()-6)</f>
        <v/>
      </c>
      <c r="B192" s="61" t="n"/>
      <c r="C192" s="62" t="n"/>
      <c r="D192" s="63" t="n"/>
      <c r="E192" s="64" t="n"/>
      <c r="F192" s="62" t="n"/>
      <c r="G192" s="62" t="n"/>
      <c r="H192" s="65">
        <f>IF(COUNTA(B192:G192)=0,"",IF(B192="","⚠ нет даты",IF(C192="","⚠ нет категории",IF(NOT(ISNUMBER(E192)),"⚠ нет суммы",IF(E192&lt;=0,"⚠ сумма ≤ 0",IF(AND(Главная!$B$7&lt;&gt;"",B192&lt;Главная!$B$7),"⚠ дата до договора",IF(B192&gt;TODAY(),"ⓘ будущая дата","✓ ОК")))))))</f>
        <v/>
      </c>
      <c r="I192" s="66">
        <f>IF(COUNTA(B192:G192)=0,"",IF(D192&lt;&gt;"",D192,IF(B192="","",DATE(YEAR(B192),MONTH(B192),1))))</f>
        <v/>
      </c>
    </row>
    <row r="193" ht="22" customHeight="1">
      <c r="A193" s="60">
        <f>IF(B193="","",ROW()-6)</f>
        <v/>
      </c>
      <c r="B193" s="61" t="n"/>
      <c r="C193" s="62" t="n"/>
      <c r="D193" s="63" t="n"/>
      <c r="E193" s="64" t="n"/>
      <c r="F193" s="62" t="n"/>
      <c r="G193" s="62" t="n"/>
      <c r="H193" s="65">
        <f>IF(COUNTA(B193:G193)=0,"",IF(B193="","⚠ нет даты",IF(C193="","⚠ нет категории",IF(NOT(ISNUMBER(E193)),"⚠ нет суммы",IF(E193&lt;=0,"⚠ сумма ≤ 0",IF(AND(Главная!$B$7&lt;&gt;"",B193&lt;Главная!$B$7),"⚠ дата до договора",IF(B193&gt;TODAY(),"ⓘ будущая дата","✓ ОК")))))))</f>
        <v/>
      </c>
      <c r="I193" s="66">
        <f>IF(COUNTA(B193:G193)=0,"",IF(D193&lt;&gt;"",D193,IF(B193="","",DATE(YEAR(B193),MONTH(B193),1))))</f>
        <v/>
      </c>
    </row>
    <row r="194" ht="22" customHeight="1">
      <c r="A194" s="60">
        <f>IF(B194="","",ROW()-6)</f>
        <v/>
      </c>
      <c r="B194" s="61" t="n"/>
      <c r="C194" s="62" t="n"/>
      <c r="D194" s="63" t="n"/>
      <c r="E194" s="64" t="n"/>
      <c r="F194" s="62" t="n"/>
      <c r="G194" s="62" t="n"/>
      <c r="H194" s="65">
        <f>IF(COUNTA(B194:G194)=0,"",IF(B194="","⚠ нет даты",IF(C194="","⚠ нет категории",IF(NOT(ISNUMBER(E194)),"⚠ нет суммы",IF(E194&lt;=0,"⚠ сумма ≤ 0",IF(AND(Главная!$B$7&lt;&gt;"",B194&lt;Главная!$B$7),"⚠ дата до договора",IF(B194&gt;TODAY(),"ⓘ будущая дата","✓ ОК")))))))</f>
        <v/>
      </c>
      <c r="I194" s="66">
        <f>IF(COUNTA(B194:G194)=0,"",IF(D194&lt;&gt;"",D194,IF(B194="","",DATE(YEAR(B194),MONTH(B194),1))))</f>
        <v/>
      </c>
    </row>
    <row r="195" ht="22" customHeight="1">
      <c r="A195" s="60">
        <f>IF(B195="","",ROW()-6)</f>
        <v/>
      </c>
      <c r="B195" s="61" t="n"/>
      <c r="C195" s="62" t="n"/>
      <c r="D195" s="63" t="n"/>
      <c r="E195" s="64" t="n"/>
      <c r="F195" s="62" t="n"/>
      <c r="G195" s="62" t="n"/>
      <c r="H195" s="65">
        <f>IF(COUNTA(B195:G195)=0,"",IF(B195="","⚠ нет даты",IF(C195="","⚠ нет категории",IF(NOT(ISNUMBER(E195)),"⚠ нет суммы",IF(E195&lt;=0,"⚠ сумма ≤ 0",IF(AND(Главная!$B$7&lt;&gt;"",B195&lt;Главная!$B$7),"⚠ дата до договора",IF(B195&gt;TODAY(),"ⓘ будущая дата","✓ ОК")))))))</f>
        <v/>
      </c>
      <c r="I195" s="66">
        <f>IF(COUNTA(B195:G195)=0,"",IF(D195&lt;&gt;"",D195,IF(B195="","",DATE(YEAR(B195),MONTH(B195),1))))</f>
        <v/>
      </c>
    </row>
    <row r="196" ht="22" customHeight="1">
      <c r="A196" s="60">
        <f>IF(B196="","",ROW()-6)</f>
        <v/>
      </c>
      <c r="B196" s="61" t="n"/>
      <c r="C196" s="62" t="n"/>
      <c r="D196" s="63" t="n"/>
      <c r="E196" s="64" t="n"/>
      <c r="F196" s="62" t="n"/>
      <c r="G196" s="62" t="n"/>
      <c r="H196" s="65">
        <f>IF(COUNTA(B196:G196)=0,"",IF(B196="","⚠ нет даты",IF(C196="","⚠ нет категории",IF(NOT(ISNUMBER(E196)),"⚠ нет суммы",IF(E196&lt;=0,"⚠ сумма ≤ 0",IF(AND(Главная!$B$7&lt;&gt;"",B196&lt;Главная!$B$7),"⚠ дата до договора",IF(B196&gt;TODAY(),"ⓘ будущая дата","✓ ОК")))))))</f>
        <v/>
      </c>
      <c r="I196" s="66">
        <f>IF(COUNTA(B196:G196)=0,"",IF(D196&lt;&gt;"",D196,IF(B196="","",DATE(YEAR(B196),MONTH(B196),1))))</f>
        <v/>
      </c>
    </row>
    <row r="197" ht="22" customHeight="1">
      <c r="A197" s="60">
        <f>IF(B197="","",ROW()-6)</f>
        <v/>
      </c>
      <c r="B197" s="61" t="n"/>
      <c r="C197" s="62" t="n"/>
      <c r="D197" s="63" t="n"/>
      <c r="E197" s="64" t="n"/>
      <c r="F197" s="62" t="n"/>
      <c r="G197" s="62" t="n"/>
      <c r="H197" s="65">
        <f>IF(COUNTA(B197:G197)=0,"",IF(B197="","⚠ нет даты",IF(C197="","⚠ нет категории",IF(NOT(ISNUMBER(E197)),"⚠ нет суммы",IF(E197&lt;=0,"⚠ сумма ≤ 0",IF(AND(Главная!$B$7&lt;&gt;"",B197&lt;Главная!$B$7),"⚠ дата до договора",IF(B197&gt;TODAY(),"ⓘ будущая дата","✓ ОК")))))))</f>
        <v/>
      </c>
      <c r="I197" s="66">
        <f>IF(COUNTA(B197:G197)=0,"",IF(D197&lt;&gt;"",D197,IF(B197="","",DATE(YEAR(B197),MONTH(B197),1))))</f>
        <v/>
      </c>
    </row>
    <row r="198" ht="22" customHeight="1">
      <c r="A198" s="60">
        <f>IF(B198="","",ROW()-6)</f>
        <v/>
      </c>
      <c r="B198" s="61" t="n"/>
      <c r="C198" s="62" t="n"/>
      <c r="D198" s="63" t="n"/>
      <c r="E198" s="64" t="n"/>
      <c r="F198" s="62" t="n"/>
      <c r="G198" s="62" t="n"/>
      <c r="H198" s="65">
        <f>IF(COUNTA(B198:G198)=0,"",IF(B198="","⚠ нет даты",IF(C198="","⚠ нет категории",IF(NOT(ISNUMBER(E198)),"⚠ нет суммы",IF(E198&lt;=0,"⚠ сумма ≤ 0",IF(AND(Главная!$B$7&lt;&gt;"",B198&lt;Главная!$B$7),"⚠ дата до договора",IF(B198&gt;TODAY(),"ⓘ будущая дата","✓ ОК")))))))</f>
        <v/>
      </c>
      <c r="I198" s="66">
        <f>IF(COUNTA(B198:G198)=0,"",IF(D198&lt;&gt;"",D198,IF(B198="","",DATE(YEAR(B198),MONTH(B198),1))))</f>
        <v/>
      </c>
    </row>
    <row r="199" ht="22" customHeight="1">
      <c r="A199" s="60">
        <f>IF(B199="","",ROW()-6)</f>
        <v/>
      </c>
      <c r="B199" s="61" t="n"/>
      <c r="C199" s="62" t="n"/>
      <c r="D199" s="63" t="n"/>
      <c r="E199" s="64" t="n"/>
      <c r="F199" s="62" t="n"/>
      <c r="G199" s="62" t="n"/>
      <c r="H199" s="65">
        <f>IF(COUNTA(B199:G199)=0,"",IF(B199="","⚠ нет даты",IF(C199="","⚠ нет категории",IF(NOT(ISNUMBER(E199)),"⚠ нет суммы",IF(E199&lt;=0,"⚠ сумма ≤ 0",IF(AND(Главная!$B$7&lt;&gt;"",B199&lt;Главная!$B$7),"⚠ дата до договора",IF(B199&gt;TODAY(),"ⓘ будущая дата","✓ ОК")))))))</f>
        <v/>
      </c>
      <c r="I199" s="66">
        <f>IF(COUNTA(B199:G199)=0,"",IF(D199&lt;&gt;"",D199,IF(B199="","",DATE(YEAR(B199),MONTH(B199),1))))</f>
        <v/>
      </c>
    </row>
    <row r="200" ht="22" customHeight="1">
      <c r="A200" s="60">
        <f>IF(B200="","",ROW()-6)</f>
        <v/>
      </c>
      <c r="B200" s="61" t="n"/>
      <c r="C200" s="62" t="n"/>
      <c r="D200" s="63" t="n"/>
      <c r="E200" s="64" t="n"/>
      <c r="F200" s="62" t="n"/>
      <c r="G200" s="62" t="n"/>
      <c r="H200" s="65">
        <f>IF(COUNTA(B200:G200)=0,"",IF(B200="","⚠ нет даты",IF(C200="","⚠ нет категории",IF(NOT(ISNUMBER(E200)),"⚠ нет суммы",IF(E200&lt;=0,"⚠ сумма ≤ 0",IF(AND(Главная!$B$7&lt;&gt;"",B200&lt;Главная!$B$7),"⚠ дата до договора",IF(B200&gt;TODAY(),"ⓘ будущая дата","✓ ОК")))))))</f>
        <v/>
      </c>
      <c r="I200" s="66">
        <f>IF(COUNTA(B200:G200)=0,"",IF(D200&lt;&gt;"",D200,IF(B200="","",DATE(YEAR(B200),MONTH(B200),1))))</f>
        <v/>
      </c>
    </row>
    <row r="201" ht="22" customHeight="1">
      <c r="A201" s="60">
        <f>IF(B201="","",ROW()-6)</f>
        <v/>
      </c>
      <c r="B201" s="61" t="n"/>
      <c r="C201" s="62" t="n"/>
      <c r="D201" s="63" t="n"/>
      <c r="E201" s="64" t="n"/>
      <c r="F201" s="62" t="n"/>
      <c r="G201" s="62" t="n"/>
      <c r="H201" s="65">
        <f>IF(COUNTA(B201:G201)=0,"",IF(B201="","⚠ нет даты",IF(C201="","⚠ нет категории",IF(NOT(ISNUMBER(E201)),"⚠ нет суммы",IF(E201&lt;=0,"⚠ сумма ≤ 0",IF(AND(Главная!$B$7&lt;&gt;"",B201&lt;Главная!$B$7),"⚠ дата до договора",IF(B201&gt;TODAY(),"ⓘ будущая дата","✓ ОК")))))))</f>
        <v/>
      </c>
      <c r="I201" s="66">
        <f>IF(COUNTA(B201:G201)=0,"",IF(D201&lt;&gt;"",D201,IF(B201="","",DATE(YEAR(B201),MONTH(B201),1))))</f>
        <v/>
      </c>
    </row>
    <row r="202" ht="22" customHeight="1">
      <c r="A202" s="60">
        <f>IF(B202="","",ROW()-6)</f>
        <v/>
      </c>
      <c r="B202" s="61" t="n"/>
      <c r="C202" s="62" t="n"/>
      <c r="D202" s="63" t="n"/>
      <c r="E202" s="64" t="n"/>
      <c r="F202" s="62" t="n"/>
      <c r="G202" s="62" t="n"/>
      <c r="H202" s="65">
        <f>IF(COUNTA(B202:G202)=0,"",IF(B202="","⚠ нет даты",IF(C202="","⚠ нет категории",IF(NOT(ISNUMBER(E202)),"⚠ нет суммы",IF(E202&lt;=0,"⚠ сумма ≤ 0",IF(AND(Главная!$B$7&lt;&gt;"",B202&lt;Главная!$B$7),"⚠ дата до договора",IF(B202&gt;TODAY(),"ⓘ будущая дата","✓ ОК")))))))</f>
        <v/>
      </c>
      <c r="I202" s="66">
        <f>IF(COUNTA(B202:G202)=0,"",IF(D202&lt;&gt;"",D202,IF(B202="","",DATE(YEAR(B202),MONTH(B202),1))))</f>
        <v/>
      </c>
    </row>
    <row r="203" ht="22" customHeight="1">
      <c r="A203" s="60">
        <f>IF(B203="","",ROW()-6)</f>
        <v/>
      </c>
      <c r="B203" s="61" t="n"/>
      <c r="C203" s="62" t="n"/>
      <c r="D203" s="63" t="n"/>
      <c r="E203" s="64" t="n"/>
      <c r="F203" s="62" t="n"/>
      <c r="G203" s="62" t="n"/>
      <c r="H203" s="65">
        <f>IF(COUNTA(B203:G203)=0,"",IF(B203="","⚠ нет даты",IF(C203="","⚠ нет категории",IF(NOT(ISNUMBER(E203)),"⚠ нет суммы",IF(E203&lt;=0,"⚠ сумма ≤ 0",IF(AND(Главная!$B$7&lt;&gt;"",B203&lt;Главная!$B$7),"⚠ дата до договора",IF(B203&gt;TODAY(),"ⓘ будущая дата","✓ ОК")))))))</f>
        <v/>
      </c>
      <c r="I203" s="66">
        <f>IF(COUNTA(B203:G203)=0,"",IF(D203&lt;&gt;"",D203,IF(B203="","",DATE(YEAR(B203),MONTH(B203),1))))</f>
        <v/>
      </c>
    </row>
    <row r="204" ht="22" customHeight="1">
      <c r="A204" s="60">
        <f>IF(B204="","",ROW()-6)</f>
        <v/>
      </c>
      <c r="B204" s="61" t="n"/>
      <c r="C204" s="62" t="n"/>
      <c r="D204" s="63" t="n"/>
      <c r="E204" s="64" t="n"/>
      <c r="F204" s="62" t="n"/>
      <c r="G204" s="62" t="n"/>
      <c r="H204" s="65">
        <f>IF(COUNTA(B204:G204)=0,"",IF(B204="","⚠ нет даты",IF(C204="","⚠ нет категории",IF(NOT(ISNUMBER(E204)),"⚠ нет суммы",IF(E204&lt;=0,"⚠ сумма ≤ 0",IF(AND(Главная!$B$7&lt;&gt;"",B204&lt;Главная!$B$7),"⚠ дата до договора",IF(B204&gt;TODAY(),"ⓘ будущая дата","✓ ОК")))))))</f>
        <v/>
      </c>
      <c r="I204" s="66">
        <f>IF(COUNTA(B204:G204)=0,"",IF(D204&lt;&gt;"",D204,IF(B204="","",DATE(YEAR(B204),MONTH(B204),1))))</f>
        <v/>
      </c>
    </row>
    <row r="205" ht="22" customHeight="1">
      <c r="A205" s="60">
        <f>IF(B205="","",ROW()-6)</f>
        <v/>
      </c>
      <c r="B205" s="61" t="n"/>
      <c r="C205" s="62" t="n"/>
      <c r="D205" s="63" t="n"/>
      <c r="E205" s="64" t="n"/>
      <c r="F205" s="62" t="n"/>
      <c r="G205" s="62" t="n"/>
      <c r="H205" s="65">
        <f>IF(COUNTA(B205:G205)=0,"",IF(B205="","⚠ нет даты",IF(C205="","⚠ нет категории",IF(NOT(ISNUMBER(E205)),"⚠ нет суммы",IF(E205&lt;=0,"⚠ сумма ≤ 0",IF(AND(Главная!$B$7&lt;&gt;"",B205&lt;Главная!$B$7),"⚠ дата до договора",IF(B205&gt;TODAY(),"ⓘ будущая дата","✓ ОК")))))))</f>
        <v/>
      </c>
      <c r="I205" s="66">
        <f>IF(COUNTA(B205:G205)=0,"",IF(D205&lt;&gt;"",D205,IF(B205="","",DATE(YEAR(B205),MONTH(B205),1))))</f>
        <v/>
      </c>
    </row>
    <row r="206" ht="22" customHeight="1">
      <c r="A206" s="60">
        <f>IF(B206="","",ROW()-6)</f>
        <v/>
      </c>
      <c r="B206" s="61" t="n"/>
      <c r="C206" s="62" t="n"/>
      <c r="D206" s="63" t="n"/>
      <c r="E206" s="64" t="n"/>
      <c r="F206" s="62" t="n"/>
      <c r="G206" s="62" t="n"/>
      <c r="H206" s="65">
        <f>IF(COUNTA(B206:G206)=0,"",IF(B206="","⚠ нет даты",IF(C206="","⚠ нет категории",IF(NOT(ISNUMBER(E206)),"⚠ нет суммы",IF(E206&lt;=0,"⚠ сумма ≤ 0",IF(AND(Главная!$B$7&lt;&gt;"",B206&lt;Главная!$B$7),"⚠ дата до договора",IF(B206&gt;TODAY(),"ⓘ будущая дата","✓ ОК")))))))</f>
        <v/>
      </c>
      <c r="I206" s="66">
        <f>IF(COUNTA(B206:G206)=0,"",IF(D206&lt;&gt;"",D206,IF(B206="","",DATE(YEAR(B206),MONTH(B206),1))))</f>
        <v/>
      </c>
    </row>
    <row r="207" ht="22" customHeight="1">
      <c r="A207" s="60">
        <f>IF(B207="","",ROW()-6)</f>
        <v/>
      </c>
      <c r="B207" s="61" t="n"/>
      <c r="C207" s="62" t="n"/>
      <c r="D207" s="63" t="n"/>
      <c r="E207" s="64" t="n"/>
      <c r="F207" s="62" t="n"/>
      <c r="G207" s="62" t="n"/>
      <c r="H207" s="65">
        <f>IF(COUNTA(B207:G207)=0,"",IF(B207="","⚠ нет даты",IF(C207="","⚠ нет категории",IF(NOT(ISNUMBER(E207)),"⚠ нет суммы",IF(E207&lt;=0,"⚠ сумма ≤ 0",IF(AND(Главная!$B$7&lt;&gt;"",B207&lt;Главная!$B$7),"⚠ дата до договора",IF(B207&gt;TODAY(),"ⓘ будущая дата","✓ ОК")))))))</f>
        <v/>
      </c>
      <c r="I207" s="66">
        <f>IF(COUNTA(B207:G207)=0,"",IF(D207&lt;&gt;"",D207,IF(B207="","",DATE(YEAR(B207),MONTH(B207),1))))</f>
        <v/>
      </c>
    </row>
    <row r="208" ht="22" customHeight="1">
      <c r="A208" s="60">
        <f>IF(B208="","",ROW()-6)</f>
        <v/>
      </c>
      <c r="B208" s="61" t="n"/>
      <c r="C208" s="62" t="n"/>
      <c r="D208" s="63" t="n"/>
      <c r="E208" s="64" t="n"/>
      <c r="F208" s="62" t="n"/>
      <c r="G208" s="62" t="n"/>
      <c r="H208" s="65">
        <f>IF(COUNTA(B208:G208)=0,"",IF(B208="","⚠ нет даты",IF(C208="","⚠ нет категории",IF(NOT(ISNUMBER(E208)),"⚠ нет суммы",IF(E208&lt;=0,"⚠ сумма ≤ 0",IF(AND(Главная!$B$7&lt;&gt;"",B208&lt;Главная!$B$7),"⚠ дата до договора",IF(B208&gt;TODAY(),"ⓘ будущая дата","✓ ОК")))))))</f>
        <v/>
      </c>
      <c r="I208" s="66">
        <f>IF(COUNTA(B208:G208)=0,"",IF(D208&lt;&gt;"",D208,IF(B208="","",DATE(YEAR(B208),MONTH(B208),1))))</f>
        <v/>
      </c>
    </row>
    <row r="209" ht="22" customHeight="1">
      <c r="A209" s="60">
        <f>IF(B209="","",ROW()-6)</f>
        <v/>
      </c>
      <c r="B209" s="61" t="n"/>
      <c r="C209" s="62" t="n"/>
      <c r="D209" s="63" t="n"/>
      <c r="E209" s="64" t="n"/>
      <c r="F209" s="62" t="n"/>
      <c r="G209" s="62" t="n"/>
      <c r="H209" s="65">
        <f>IF(COUNTA(B209:G209)=0,"",IF(B209="","⚠ нет даты",IF(C209="","⚠ нет категории",IF(NOT(ISNUMBER(E209)),"⚠ нет суммы",IF(E209&lt;=0,"⚠ сумма ≤ 0",IF(AND(Главная!$B$7&lt;&gt;"",B209&lt;Главная!$B$7),"⚠ дата до договора",IF(B209&gt;TODAY(),"ⓘ будущая дата","✓ ОК")))))))</f>
        <v/>
      </c>
      <c r="I209" s="66">
        <f>IF(COUNTA(B209:G209)=0,"",IF(D209&lt;&gt;"",D209,IF(B209="","",DATE(YEAR(B209),MONTH(B209),1))))</f>
        <v/>
      </c>
    </row>
    <row r="210" ht="22" customHeight="1">
      <c r="A210" s="60">
        <f>IF(B210="","",ROW()-6)</f>
        <v/>
      </c>
      <c r="B210" s="61" t="n"/>
      <c r="C210" s="62" t="n"/>
      <c r="D210" s="63" t="n"/>
      <c r="E210" s="64" t="n"/>
      <c r="F210" s="62" t="n"/>
      <c r="G210" s="62" t="n"/>
      <c r="H210" s="65">
        <f>IF(COUNTA(B210:G210)=0,"",IF(B210="","⚠ нет даты",IF(C210="","⚠ нет категории",IF(NOT(ISNUMBER(E210)),"⚠ нет суммы",IF(E210&lt;=0,"⚠ сумма ≤ 0",IF(AND(Главная!$B$7&lt;&gt;"",B210&lt;Главная!$B$7),"⚠ дата до договора",IF(B210&gt;TODAY(),"ⓘ будущая дата","✓ ОК")))))))</f>
        <v/>
      </c>
      <c r="I210" s="66">
        <f>IF(COUNTA(B210:G210)=0,"",IF(D210&lt;&gt;"",D210,IF(B210="","",DATE(YEAR(B210),MONTH(B210),1))))</f>
        <v/>
      </c>
    </row>
    <row r="211" ht="22" customHeight="1">
      <c r="A211" s="60">
        <f>IF(B211="","",ROW()-6)</f>
        <v/>
      </c>
      <c r="B211" s="61" t="n"/>
      <c r="C211" s="62" t="n"/>
      <c r="D211" s="63" t="n"/>
      <c r="E211" s="64" t="n"/>
      <c r="F211" s="62" t="n"/>
      <c r="G211" s="62" t="n"/>
      <c r="H211" s="65">
        <f>IF(COUNTA(B211:G211)=0,"",IF(B211="","⚠ нет даты",IF(C211="","⚠ нет категории",IF(NOT(ISNUMBER(E211)),"⚠ нет суммы",IF(E211&lt;=0,"⚠ сумма ≤ 0",IF(AND(Главная!$B$7&lt;&gt;"",B211&lt;Главная!$B$7),"⚠ дата до договора",IF(B211&gt;TODAY(),"ⓘ будущая дата","✓ ОК")))))))</f>
        <v/>
      </c>
      <c r="I211" s="66">
        <f>IF(COUNTA(B211:G211)=0,"",IF(D211&lt;&gt;"",D211,IF(B211="","",DATE(YEAR(B211),MONTH(B211),1))))</f>
        <v/>
      </c>
    </row>
    <row r="212" ht="22" customHeight="1">
      <c r="A212" s="60">
        <f>IF(B212="","",ROW()-6)</f>
        <v/>
      </c>
      <c r="B212" s="61" t="n"/>
      <c r="C212" s="62" t="n"/>
      <c r="D212" s="63" t="n"/>
      <c r="E212" s="64" t="n"/>
      <c r="F212" s="62" t="n"/>
      <c r="G212" s="62" t="n"/>
      <c r="H212" s="65">
        <f>IF(COUNTA(B212:G212)=0,"",IF(B212="","⚠ нет даты",IF(C212="","⚠ нет категории",IF(NOT(ISNUMBER(E212)),"⚠ нет суммы",IF(E212&lt;=0,"⚠ сумма ≤ 0",IF(AND(Главная!$B$7&lt;&gt;"",B212&lt;Главная!$B$7),"⚠ дата до договора",IF(B212&gt;TODAY(),"ⓘ будущая дата","✓ ОК")))))))</f>
        <v/>
      </c>
      <c r="I212" s="66">
        <f>IF(COUNTA(B212:G212)=0,"",IF(D212&lt;&gt;"",D212,IF(B212="","",DATE(YEAR(B212),MONTH(B212),1))))</f>
        <v/>
      </c>
    </row>
    <row r="213" ht="22" customHeight="1">
      <c r="A213" s="60">
        <f>IF(B213="","",ROW()-6)</f>
        <v/>
      </c>
      <c r="B213" s="61" t="n"/>
      <c r="C213" s="62" t="n"/>
      <c r="D213" s="63" t="n"/>
      <c r="E213" s="64" t="n"/>
      <c r="F213" s="62" t="n"/>
      <c r="G213" s="62" t="n"/>
      <c r="H213" s="65">
        <f>IF(COUNTA(B213:G213)=0,"",IF(B213="","⚠ нет даты",IF(C213="","⚠ нет категории",IF(NOT(ISNUMBER(E213)),"⚠ нет суммы",IF(E213&lt;=0,"⚠ сумма ≤ 0",IF(AND(Главная!$B$7&lt;&gt;"",B213&lt;Главная!$B$7),"⚠ дата до договора",IF(B213&gt;TODAY(),"ⓘ будущая дата","✓ ОК")))))))</f>
        <v/>
      </c>
      <c r="I213" s="66">
        <f>IF(COUNTA(B213:G213)=0,"",IF(D213&lt;&gt;"",D213,IF(B213="","",DATE(YEAR(B213),MONTH(B213),1))))</f>
        <v/>
      </c>
    </row>
    <row r="214" ht="22" customHeight="1">
      <c r="A214" s="60">
        <f>IF(B214="","",ROW()-6)</f>
        <v/>
      </c>
      <c r="B214" s="61" t="n"/>
      <c r="C214" s="62" t="n"/>
      <c r="D214" s="63" t="n"/>
      <c r="E214" s="64" t="n"/>
      <c r="F214" s="62" t="n"/>
      <c r="G214" s="62" t="n"/>
      <c r="H214" s="65">
        <f>IF(COUNTA(B214:G214)=0,"",IF(B214="","⚠ нет даты",IF(C214="","⚠ нет категории",IF(NOT(ISNUMBER(E214)),"⚠ нет суммы",IF(E214&lt;=0,"⚠ сумма ≤ 0",IF(AND(Главная!$B$7&lt;&gt;"",B214&lt;Главная!$B$7),"⚠ дата до договора",IF(B214&gt;TODAY(),"ⓘ будущая дата","✓ ОК")))))))</f>
        <v/>
      </c>
      <c r="I214" s="66">
        <f>IF(COUNTA(B214:G214)=0,"",IF(D214&lt;&gt;"",D214,IF(B214="","",DATE(YEAR(B214),MONTH(B214),1))))</f>
        <v/>
      </c>
    </row>
    <row r="215" ht="22" customHeight="1">
      <c r="A215" s="60">
        <f>IF(B215="","",ROW()-6)</f>
        <v/>
      </c>
      <c r="B215" s="61" t="n"/>
      <c r="C215" s="62" t="n"/>
      <c r="D215" s="63" t="n"/>
      <c r="E215" s="64" t="n"/>
      <c r="F215" s="62" t="n"/>
      <c r="G215" s="62" t="n"/>
      <c r="H215" s="65">
        <f>IF(COUNTA(B215:G215)=0,"",IF(B215="","⚠ нет даты",IF(C215="","⚠ нет категории",IF(NOT(ISNUMBER(E215)),"⚠ нет суммы",IF(E215&lt;=0,"⚠ сумма ≤ 0",IF(AND(Главная!$B$7&lt;&gt;"",B215&lt;Главная!$B$7),"⚠ дата до договора",IF(B215&gt;TODAY(),"ⓘ будущая дата","✓ ОК")))))))</f>
        <v/>
      </c>
      <c r="I215" s="66">
        <f>IF(COUNTA(B215:G215)=0,"",IF(D215&lt;&gt;"",D215,IF(B215="","",DATE(YEAR(B215),MONTH(B215),1))))</f>
        <v/>
      </c>
    </row>
    <row r="216" ht="22" customHeight="1">
      <c r="A216" s="60">
        <f>IF(B216="","",ROW()-6)</f>
        <v/>
      </c>
      <c r="B216" s="61" t="n"/>
      <c r="C216" s="62" t="n"/>
      <c r="D216" s="63" t="n"/>
      <c r="E216" s="64" t="n"/>
      <c r="F216" s="62" t="n"/>
      <c r="G216" s="62" t="n"/>
      <c r="H216" s="65">
        <f>IF(COUNTA(B216:G216)=0,"",IF(B216="","⚠ нет даты",IF(C216="","⚠ нет категории",IF(NOT(ISNUMBER(E216)),"⚠ нет суммы",IF(E216&lt;=0,"⚠ сумма ≤ 0",IF(AND(Главная!$B$7&lt;&gt;"",B216&lt;Главная!$B$7),"⚠ дата до договора",IF(B216&gt;TODAY(),"ⓘ будущая дата","✓ ОК")))))))</f>
        <v/>
      </c>
      <c r="I216" s="66">
        <f>IF(COUNTA(B216:G216)=0,"",IF(D216&lt;&gt;"",D216,IF(B216="","",DATE(YEAR(B216),MONTH(B216),1))))</f>
        <v/>
      </c>
    </row>
    <row r="217" ht="22" customHeight="1">
      <c r="A217" s="60">
        <f>IF(B217="","",ROW()-6)</f>
        <v/>
      </c>
      <c r="B217" s="61" t="n"/>
      <c r="C217" s="62" t="n"/>
      <c r="D217" s="63" t="n"/>
      <c r="E217" s="64" t="n"/>
      <c r="F217" s="62" t="n"/>
      <c r="G217" s="62" t="n"/>
      <c r="H217" s="65">
        <f>IF(COUNTA(B217:G217)=0,"",IF(B217="","⚠ нет даты",IF(C217="","⚠ нет категории",IF(NOT(ISNUMBER(E217)),"⚠ нет суммы",IF(E217&lt;=0,"⚠ сумма ≤ 0",IF(AND(Главная!$B$7&lt;&gt;"",B217&lt;Главная!$B$7),"⚠ дата до договора",IF(B217&gt;TODAY(),"ⓘ будущая дата","✓ ОК")))))))</f>
        <v/>
      </c>
      <c r="I217" s="66">
        <f>IF(COUNTA(B217:G217)=0,"",IF(D217&lt;&gt;"",D217,IF(B217="","",DATE(YEAR(B217),MONTH(B217),1))))</f>
        <v/>
      </c>
    </row>
    <row r="218" ht="22" customHeight="1">
      <c r="A218" s="60">
        <f>IF(B218="","",ROW()-6)</f>
        <v/>
      </c>
      <c r="B218" s="61" t="n"/>
      <c r="C218" s="62" t="n"/>
      <c r="D218" s="63" t="n"/>
      <c r="E218" s="64" t="n"/>
      <c r="F218" s="62" t="n"/>
      <c r="G218" s="62" t="n"/>
      <c r="H218" s="65">
        <f>IF(COUNTA(B218:G218)=0,"",IF(B218="","⚠ нет даты",IF(C218="","⚠ нет категории",IF(NOT(ISNUMBER(E218)),"⚠ нет суммы",IF(E218&lt;=0,"⚠ сумма ≤ 0",IF(AND(Главная!$B$7&lt;&gt;"",B218&lt;Главная!$B$7),"⚠ дата до договора",IF(B218&gt;TODAY(),"ⓘ будущая дата","✓ ОК")))))))</f>
        <v/>
      </c>
      <c r="I218" s="66">
        <f>IF(COUNTA(B218:G218)=0,"",IF(D218&lt;&gt;"",D218,IF(B218="","",DATE(YEAR(B218),MONTH(B218),1))))</f>
        <v/>
      </c>
    </row>
    <row r="219" ht="22" customHeight="1">
      <c r="A219" s="60">
        <f>IF(B219="","",ROW()-6)</f>
        <v/>
      </c>
      <c r="B219" s="61" t="n"/>
      <c r="C219" s="62" t="n"/>
      <c r="D219" s="63" t="n"/>
      <c r="E219" s="64" t="n"/>
      <c r="F219" s="62" t="n"/>
      <c r="G219" s="62" t="n"/>
      <c r="H219" s="65">
        <f>IF(COUNTA(B219:G219)=0,"",IF(B219="","⚠ нет даты",IF(C219="","⚠ нет категории",IF(NOT(ISNUMBER(E219)),"⚠ нет суммы",IF(E219&lt;=0,"⚠ сумма ≤ 0",IF(AND(Главная!$B$7&lt;&gt;"",B219&lt;Главная!$B$7),"⚠ дата до договора",IF(B219&gt;TODAY(),"ⓘ будущая дата","✓ ОК")))))))</f>
        <v/>
      </c>
      <c r="I219" s="66">
        <f>IF(COUNTA(B219:G219)=0,"",IF(D219&lt;&gt;"",D219,IF(B219="","",DATE(YEAR(B219),MONTH(B219),1))))</f>
        <v/>
      </c>
    </row>
    <row r="220" ht="22" customHeight="1">
      <c r="A220" s="60">
        <f>IF(B220="","",ROW()-6)</f>
        <v/>
      </c>
      <c r="B220" s="61" t="n"/>
      <c r="C220" s="62" t="n"/>
      <c r="D220" s="63" t="n"/>
      <c r="E220" s="64" t="n"/>
      <c r="F220" s="62" t="n"/>
      <c r="G220" s="62" t="n"/>
      <c r="H220" s="65">
        <f>IF(COUNTA(B220:G220)=0,"",IF(B220="","⚠ нет даты",IF(C220="","⚠ нет категории",IF(NOT(ISNUMBER(E220)),"⚠ нет суммы",IF(E220&lt;=0,"⚠ сумма ≤ 0",IF(AND(Главная!$B$7&lt;&gt;"",B220&lt;Главная!$B$7),"⚠ дата до договора",IF(B220&gt;TODAY(),"ⓘ будущая дата","✓ ОК")))))))</f>
        <v/>
      </c>
      <c r="I220" s="66">
        <f>IF(COUNTA(B220:G220)=0,"",IF(D220&lt;&gt;"",D220,IF(B220="","",DATE(YEAR(B220),MONTH(B220),1))))</f>
        <v/>
      </c>
    </row>
    <row r="221" ht="22" customHeight="1">
      <c r="A221" s="60">
        <f>IF(B221="","",ROW()-6)</f>
        <v/>
      </c>
      <c r="B221" s="61" t="n"/>
      <c r="C221" s="62" t="n"/>
      <c r="D221" s="63" t="n"/>
      <c r="E221" s="64" t="n"/>
      <c r="F221" s="62" t="n"/>
      <c r="G221" s="62" t="n"/>
      <c r="H221" s="65">
        <f>IF(COUNTA(B221:G221)=0,"",IF(B221="","⚠ нет даты",IF(C221="","⚠ нет категории",IF(NOT(ISNUMBER(E221)),"⚠ нет суммы",IF(E221&lt;=0,"⚠ сумма ≤ 0",IF(AND(Главная!$B$7&lt;&gt;"",B221&lt;Главная!$B$7),"⚠ дата до договора",IF(B221&gt;TODAY(),"ⓘ будущая дата","✓ ОК")))))))</f>
        <v/>
      </c>
      <c r="I221" s="66">
        <f>IF(COUNTA(B221:G221)=0,"",IF(D221&lt;&gt;"",D221,IF(B221="","",DATE(YEAR(B221),MONTH(B221),1))))</f>
        <v/>
      </c>
    </row>
    <row r="222" ht="22" customHeight="1">
      <c r="A222" s="60">
        <f>IF(B222="","",ROW()-6)</f>
        <v/>
      </c>
      <c r="B222" s="61" t="n"/>
      <c r="C222" s="62" t="n"/>
      <c r="D222" s="63" t="n"/>
      <c r="E222" s="64" t="n"/>
      <c r="F222" s="62" t="n"/>
      <c r="G222" s="62" t="n"/>
      <c r="H222" s="65">
        <f>IF(COUNTA(B222:G222)=0,"",IF(B222="","⚠ нет даты",IF(C222="","⚠ нет категории",IF(NOT(ISNUMBER(E222)),"⚠ нет суммы",IF(E222&lt;=0,"⚠ сумма ≤ 0",IF(AND(Главная!$B$7&lt;&gt;"",B222&lt;Главная!$B$7),"⚠ дата до договора",IF(B222&gt;TODAY(),"ⓘ будущая дата","✓ ОК")))))))</f>
        <v/>
      </c>
      <c r="I222" s="66">
        <f>IF(COUNTA(B222:G222)=0,"",IF(D222&lt;&gt;"",D222,IF(B222="","",DATE(YEAR(B222),MONTH(B222),1))))</f>
        <v/>
      </c>
    </row>
    <row r="223" ht="22" customHeight="1">
      <c r="A223" s="60">
        <f>IF(B223="","",ROW()-6)</f>
        <v/>
      </c>
      <c r="B223" s="61" t="n"/>
      <c r="C223" s="62" t="n"/>
      <c r="D223" s="63" t="n"/>
      <c r="E223" s="64" t="n"/>
      <c r="F223" s="62" t="n"/>
      <c r="G223" s="62" t="n"/>
      <c r="H223" s="65">
        <f>IF(COUNTA(B223:G223)=0,"",IF(B223="","⚠ нет даты",IF(C223="","⚠ нет категории",IF(NOT(ISNUMBER(E223)),"⚠ нет суммы",IF(E223&lt;=0,"⚠ сумма ≤ 0",IF(AND(Главная!$B$7&lt;&gt;"",B223&lt;Главная!$B$7),"⚠ дата до договора",IF(B223&gt;TODAY(),"ⓘ будущая дата","✓ ОК")))))))</f>
        <v/>
      </c>
      <c r="I223" s="66">
        <f>IF(COUNTA(B223:G223)=0,"",IF(D223&lt;&gt;"",D223,IF(B223="","",DATE(YEAR(B223),MONTH(B223),1))))</f>
        <v/>
      </c>
    </row>
    <row r="224" ht="22" customHeight="1">
      <c r="A224" s="60">
        <f>IF(B224="","",ROW()-6)</f>
        <v/>
      </c>
      <c r="B224" s="61" t="n"/>
      <c r="C224" s="62" t="n"/>
      <c r="D224" s="63" t="n"/>
      <c r="E224" s="64" t="n"/>
      <c r="F224" s="62" t="n"/>
      <c r="G224" s="62" t="n"/>
      <c r="H224" s="65">
        <f>IF(COUNTA(B224:G224)=0,"",IF(B224="","⚠ нет даты",IF(C224="","⚠ нет категории",IF(NOT(ISNUMBER(E224)),"⚠ нет суммы",IF(E224&lt;=0,"⚠ сумма ≤ 0",IF(AND(Главная!$B$7&lt;&gt;"",B224&lt;Главная!$B$7),"⚠ дата до договора",IF(B224&gt;TODAY(),"ⓘ будущая дата","✓ ОК")))))))</f>
        <v/>
      </c>
      <c r="I224" s="66">
        <f>IF(COUNTA(B224:G224)=0,"",IF(D224&lt;&gt;"",D224,IF(B224="","",DATE(YEAR(B224),MONTH(B224),1))))</f>
        <v/>
      </c>
    </row>
    <row r="225" ht="22" customHeight="1">
      <c r="A225" s="60">
        <f>IF(B225="","",ROW()-6)</f>
        <v/>
      </c>
      <c r="B225" s="61" t="n"/>
      <c r="C225" s="62" t="n"/>
      <c r="D225" s="63" t="n"/>
      <c r="E225" s="64" t="n"/>
      <c r="F225" s="62" t="n"/>
      <c r="G225" s="62" t="n"/>
      <c r="H225" s="65">
        <f>IF(COUNTA(B225:G225)=0,"",IF(B225="","⚠ нет даты",IF(C225="","⚠ нет категории",IF(NOT(ISNUMBER(E225)),"⚠ нет суммы",IF(E225&lt;=0,"⚠ сумма ≤ 0",IF(AND(Главная!$B$7&lt;&gt;"",B225&lt;Главная!$B$7),"⚠ дата до договора",IF(B225&gt;TODAY(),"ⓘ будущая дата","✓ ОК")))))))</f>
        <v/>
      </c>
      <c r="I225" s="66">
        <f>IF(COUNTA(B225:G225)=0,"",IF(D225&lt;&gt;"",D225,IF(B225="","",DATE(YEAR(B225),MONTH(B225),1))))</f>
        <v/>
      </c>
    </row>
    <row r="226" ht="22" customHeight="1">
      <c r="A226" s="60">
        <f>IF(B226="","",ROW()-6)</f>
        <v/>
      </c>
      <c r="B226" s="61" t="n"/>
      <c r="C226" s="62" t="n"/>
      <c r="D226" s="63" t="n"/>
      <c r="E226" s="64" t="n"/>
      <c r="F226" s="62" t="n"/>
      <c r="G226" s="62" t="n"/>
      <c r="H226" s="65">
        <f>IF(COUNTA(B226:G226)=0,"",IF(B226="","⚠ нет даты",IF(C226="","⚠ нет категории",IF(NOT(ISNUMBER(E226)),"⚠ нет суммы",IF(E226&lt;=0,"⚠ сумма ≤ 0",IF(AND(Главная!$B$7&lt;&gt;"",B226&lt;Главная!$B$7),"⚠ дата до договора",IF(B226&gt;TODAY(),"ⓘ будущая дата","✓ ОК")))))))</f>
        <v/>
      </c>
      <c r="I226" s="66">
        <f>IF(COUNTA(B226:G226)=0,"",IF(D226&lt;&gt;"",D226,IF(B226="","",DATE(YEAR(B226),MONTH(B226),1))))</f>
        <v/>
      </c>
    </row>
    <row r="227" ht="22" customHeight="1">
      <c r="A227" s="60">
        <f>IF(B227="","",ROW()-6)</f>
        <v/>
      </c>
      <c r="B227" s="61" t="n"/>
      <c r="C227" s="62" t="n"/>
      <c r="D227" s="63" t="n"/>
      <c r="E227" s="64" t="n"/>
      <c r="F227" s="62" t="n"/>
      <c r="G227" s="62" t="n"/>
      <c r="H227" s="65">
        <f>IF(COUNTA(B227:G227)=0,"",IF(B227="","⚠ нет даты",IF(C227="","⚠ нет категории",IF(NOT(ISNUMBER(E227)),"⚠ нет суммы",IF(E227&lt;=0,"⚠ сумма ≤ 0",IF(AND(Главная!$B$7&lt;&gt;"",B227&lt;Главная!$B$7),"⚠ дата до договора",IF(B227&gt;TODAY(),"ⓘ будущая дата","✓ ОК")))))))</f>
        <v/>
      </c>
      <c r="I227" s="66">
        <f>IF(COUNTA(B227:G227)=0,"",IF(D227&lt;&gt;"",D227,IF(B227="","",DATE(YEAR(B227),MONTH(B227),1))))</f>
        <v/>
      </c>
    </row>
    <row r="228" ht="22" customHeight="1">
      <c r="A228" s="60">
        <f>IF(B228="","",ROW()-6)</f>
        <v/>
      </c>
      <c r="B228" s="61" t="n"/>
      <c r="C228" s="62" t="n"/>
      <c r="D228" s="63" t="n"/>
      <c r="E228" s="64" t="n"/>
      <c r="F228" s="62" t="n"/>
      <c r="G228" s="62" t="n"/>
      <c r="H228" s="65">
        <f>IF(COUNTA(B228:G228)=0,"",IF(B228="","⚠ нет даты",IF(C228="","⚠ нет категории",IF(NOT(ISNUMBER(E228)),"⚠ нет суммы",IF(E228&lt;=0,"⚠ сумма ≤ 0",IF(AND(Главная!$B$7&lt;&gt;"",B228&lt;Главная!$B$7),"⚠ дата до договора",IF(B228&gt;TODAY(),"ⓘ будущая дата","✓ ОК")))))))</f>
        <v/>
      </c>
      <c r="I228" s="66">
        <f>IF(COUNTA(B228:G228)=0,"",IF(D228&lt;&gt;"",D228,IF(B228="","",DATE(YEAR(B228),MONTH(B228),1))))</f>
        <v/>
      </c>
    </row>
    <row r="229" ht="22" customHeight="1">
      <c r="A229" s="60">
        <f>IF(B229="","",ROW()-6)</f>
        <v/>
      </c>
      <c r="B229" s="61" t="n"/>
      <c r="C229" s="62" t="n"/>
      <c r="D229" s="63" t="n"/>
      <c r="E229" s="64" t="n"/>
      <c r="F229" s="62" t="n"/>
      <c r="G229" s="62" t="n"/>
      <c r="H229" s="65">
        <f>IF(COUNTA(B229:G229)=0,"",IF(B229="","⚠ нет даты",IF(C229="","⚠ нет категории",IF(NOT(ISNUMBER(E229)),"⚠ нет суммы",IF(E229&lt;=0,"⚠ сумма ≤ 0",IF(AND(Главная!$B$7&lt;&gt;"",B229&lt;Главная!$B$7),"⚠ дата до договора",IF(B229&gt;TODAY(),"ⓘ будущая дата","✓ ОК")))))))</f>
        <v/>
      </c>
      <c r="I229" s="66">
        <f>IF(COUNTA(B229:G229)=0,"",IF(D229&lt;&gt;"",D229,IF(B229="","",DATE(YEAR(B229),MONTH(B229),1))))</f>
        <v/>
      </c>
    </row>
    <row r="230" ht="22" customHeight="1">
      <c r="A230" s="60">
        <f>IF(B230="","",ROW()-6)</f>
        <v/>
      </c>
      <c r="B230" s="61" t="n"/>
      <c r="C230" s="62" t="n"/>
      <c r="D230" s="63" t="n"/>
      <c r="E230" s="64" t="n"/>
      <c r="F230" s="62" t="n"/>
      <c r="G230" s="62" t="n"/>
      <c r="H230" s="65">
        <f>IF(COUNTA(B230:G230)=0,"",IF(B230="","⚠ нет даты",IF(C230="","⚠ нет категории",IF(NOT(ISNUMBER(E230)),"⚠ нет суммы",IF(E230&lt;=0,"⚠ сумма ≤ 0",IF(AND(Главная!$B$7&lt;&gt;"",B230&lt;Главная!$B$7),"⚠ дата до договора",IF(B230&gt;TODAY(),"ⓘ будущая дата","✓ ОК")))))))</f>
        <v/>
      </c>
      <c r="I230" s="66">
        <f>IF(COUNTA(B230:G230)=0,"",IF(D230&lt;&gt;"",D230,IF(B230="","",DATE(YEAR(B230),MONTH(B230),1))))</f>
        <v/>
      </c>
    </row>
    <row r="231" ht="22" customHeight="1">
      <c r="A231" s="60">
        <f>IF(B231="","",ROW()-6)</f>
        <v/>
      </c>
      <c r="B231" s="61" t="n"/>
      <c r="C231" s="62" t="n"/>
      <c r="D231" s="63" t="n"/>
      <c r="E231" s="64" t="n"/>
      <c r="F231" s="62" t="n"/>
      <c r="G231" s="62" t="n"/>
      <c r="H231" s="65">
        <f>IF(COUNTA(B231:G231)=0,"",IF(B231="","⚠ нет даты",IF(C231="","⚠ нет категории",IF(NOT(ISNUMBER(E231)),"⚠ нет суммы",IF(E231&lt;=0,"⚠ сумма ≤ 0",IF(AND(Главная!$B$7&lt;&gt;"",B231&lt;Главная!$B$7),"⚠ дата до договора",IF(B231&gt;TODAY(),"ⓘ будущая дата","✓ ОК")))))))</f>
        <v/>
      </c>
      <c r="I231" s="66">
        <f>IF(COUNTA(B231:G231)=0,"",IF(D231&lt;&gt;"",D231,IF(B231="","",DATE(YEAR(B231),MONTH(B231),1))))</f>
        <v/>
      </c>
    </row>
    <row r="232" ht="22" customHeight="1">
      <c r="A232" s="60">
        <f>IF(B232="","",ROW()-6)</f>
        <v/>
      </c>
      <c r="B232" s="61" t="n"/>
      <c r="C232" s="62" t="n"/>
      <c r="D232" s="63" t="n"/>
      <c r="E232" s="64" t="n"/>
      <c r="F232" s="62" t="n"/>
      <c r="G232" s="62" t="n"/>
      <c r="H232" s="65">
        <f>IF(COUNTA(B232:G232)=0,"",IF(B232="","⚠ нет даты",IF(C232="","⚠ нет категории",IF(NOT(ISNUMBER(E232)),"⚠ нет суммы",IF(E232&lt;=0,"⚠ сумма ≤ 0",IF(AND(Главная!$B$7&lt;&gt;"",B232&lt;Главная!$B$7),"⚠ дата до договора",IF(B232&gt;TODAY(),"ⓘ будущая дата","✓ ОК")))))))</f>
        <v/>
      </c>
      <c r="I232" s="66">
        <f>IF(COUNTA(B232:G232)=0,"",IF(D232&lt;&gt;"",D232,IF(B232="","",DATE(YEAR(B232),MONTH(B232),1))))</f>
        <v/>
      </c>
    </row>
    <row r="233" ht="22" customHeight="1">
      <c r="A233" s="60">
        <f>IF(B233="","",ROW()-6)</f>
        <v/>
      </c>
      <c r="B233" s="61" t="n"/>
      <c r="C233" s="62" t="n"/>
      <c r="D233" s="63" t="n"/>
      <c r="E233" s="64" t="n"/>
      <c r="F233" s="62" t="n"/>
      <c r="G233" s="62" t="n"/>
      <c r="H233" s="65">
        <f>IF(COUNTA(B233:G233)=0,"",IF(B233="","⚠ нет даты",IF(C233="","⚠ нет категории",IF(NOT(ISNUMBER(E233)),"⚠ нет суммы",IF(E233&lt;=0,"⚠ сумма ≤ 0",IF(AND(Главная!$B$7&lt;&gt;"",B233&lt;Главная!$B$7),"⚠ дата до договора",IF(B233&gt;TODAY(),"ⓘ будущая дата","✓ ОК")))))))</f>
        <v/>
      </c>
      <c r="I233" s="66">
        <f>IF(COUNTA(B233:G233)=0,"",IF(D233&lt;&gt;"",D233,IF(B233="","",DATE(YEAR(B233),MONTH(B233),1))))</f>
        <v/>
      </c>
    </row>
    <row r="234" ht="22" customHeight="1">
      <c r="A234" s="60">
        <f>IF(B234="","",ROW()-6)</f>
        <v/>
      </c>
      <c r="B234" s="61" t="n"/>
      <c r="C234" s="62" t="n"/>
      <c r="D234" s="63" t="n"/>
      <c r="E234" s="64" t="n"/>
      <c r="F234" s="62" t="n"/>
      <c r="G234" s="62" t="n"/>
      <c r="H234" s="65">
        <f>IF(COUNTA(B234:G234)=0,"",IF(B234="","⚠ нет даты",IF(C234="","⚠ нет категории",IF(NOT(ISNUMBER(E234)),"⚠ нет суммы",IF(E234&lt;=0,"⚠ сумма ≤ 0",IF(AND(Главная!$B$7&lt;&gt;"",B234&lt;Главная!$B$7),"⚠ дата до договора",IF(B234&gt;TODAY(),"ⓘ будущая дата","✓ ОК")))))))</f>
        <v/>
      </c>
      <c r="I234" s="66">
        <f>IF(COUNTA(B234:G234)=0,"",IF(D234&lt;&gt;"",D234,IF(B234="","",DATE(YEAR(B234),MONTH(B234),1))))</f>
        <v/>
      </c>
    </row>
    <row r="235" ht="22" customHeight="1">
      <c r="A235" s="60">
        <f>IF(B235="","",ROW()-6)</f>
        <v/>
      </c>
      <c r="B235" s="61" t="n"/>
      <c r="C235" s="62" t="n"/>
      <c r="D235" s="63" t="n"/>
      <c r="E235" s="64" t="n"/>
      <c r="F235" s="62" t="n"/>
      <c r="G235" s="62" t="n"/>
      <c r="H235" s="65">
        <f>IF(COUNTA(B235:G235)=0,"",IF(B235="","⚠ нет даты",IF(C235="","⚠ нет категории",IF(NOT(ISNUMBER(E235)),"⚠ нет суммы",IF(E235&lt;=0,"⚠ сумма ≤ 0",IF(AND(Главная!$B$7&lt;&gt;"",B235&lt;Главная!$B$7),"⚠ дата до договора",IF(B235&gt;TODAY(),"ⓘ будущая дата","✓ ОК")))))))</f>
        <v/>
      </c>
      <c r="I235" s="66">
        <f>IF(COUNTA(B235:G235)=0,"",IF(D235&lt;&gt;"",D235,IF(B235="","",DATE(YEAR(B235),MONTH(B235),1))))</f>
        <v/>
      </c>
    </row>
    <row r="236" ht="22" customHeight="1">
      <c r="A236" s="60">
        <f>IF(B236="","",ROW()-6)</f>
        <v/>
      </c>
      <c r="B236" s="61" t="n"/>
      <c r="C236" s="62" t="n"/>
      <c r="D236" s="63" t="n"/>
      <c r="E236" s="64" t="n"/>
      <c r="F236" s="62" t="n"/>
      <c r="G236" s="62" t="n"/>
      <c r="H236" s="65">
        <f>IF(COUNTA(B236:G236)=0,"",IF(B236="","⚠ нет даты",IF(C236="","⚠ нет категории",IF(NOT(ISNUMBER(E236)),"⚠ нет суммы",IF(E236&lt;=0,"⚠ сумма ≤ 0",IF(AND(Главная!$B$7&lt;&gt;"",B236&lt;Главная!$B$7),"⚠ дата до договора",IF(B236&gt;TODAY(),"ⓘ будущая дата","✓ ОК")))))))</f>
        <v/>
      </c>
      <c r="I236" s="66">
        <f>IF(COUNTA(B236:G236)=0,"",IF(D236&lt;&gt;"",D236,IF(B236="","",DATE(YEAR(B236),MONTH(B236),1))))</f>
        <v/>
      </c>
    </row>
    <row r="237" ht="22" customHeight="1">
      <c r="A237" s="60">
        <f>IF(B237="","",ROW()-6)</f>
        <v/>
      </c>
      <c r="B237" s="61" t="n"/>
      <c r="C237" s="62" t="n"/>
      <c r="D237" s="63" t="n"/>
      <c r="E237" s="64" t="n"/>
      <c r="F237" s="62" t="n"/>
      <c r="G237" s="62" t="n"/>
      <c r="H237" s="65">
        <f>IF(COUNTA(B237:G237)=0,"",IF(B237="","⚠ нет даты",IF(C237="","⚠ нет категории",IF(NOT(ISNUMBER(E237)),"⚠ нет суммы",IF(E237&lt;=0,"⚠ сумма ≤ 0",IF(AND(Главная!$B$7&lt;&gt;"",B237&lt;Главная!$B$7),"⚠ дата до договора",IF(B237&gt;TODAY(),"ⓘ будущая дата","✓ ОК")))))))</f>
        <v/>
      </c>
      <c r="I237" s="66">
        <f>IF(COUNTA(B237:G237)=0,"",IF(D237&lt;&gt;"",D237,IF(B237="","",DATE(YEAR(B237),MONTH(B237),1))))</f>
        <v/>
      </c>
    </row>
    <row r="238" ht="22" customHeight="1">
      <c r="A238" s="60">
        <f>IF(B238="","",ROW()-6)</f>
        <v/>
      </c>
      <c r="B238" s="61" t="n"/>
      <c r="C238" s="62" t="n"/>
      <c r="D238" s="63" t="n"/>
      <c r="E238" s="64" t="n"/>
      <c r="F238" s="62" t="n"/>
      <c r="G238" s="62" t="n"/>
      <c r="H238" s="65">
        <f>IF(COUNTA(B238:G238)=0,"",IF(B238="","⚠ нет даты",IF(C238="","⚠ нет категории",IF(NOT(ISNUMBER(E238)),"⚠ нет суммы",IF(E238&lt;=0,"⚠ сумма ≤ 0",IF(AND(Главная!$B$7&lt;&gt;"",B238&lt;Главная!$B$7),"⚠ дата до договора",IF(B238&gt;TODAY(),"ⓘ будущая дата","✓ ОК")))))))</f>
        <v/>
      </c>
      <c r="I238" s="66">
        <f>IF(COUNTA(B238:G238)=0,"",IF(D238&lt;&gt;"",D238,IF(B238="","",DATE(YEAR(B238),MONTH(B238),1))))</f>
        <v/>
      </c>
    </row>
    <row r="239" ht="22" customHeight="1">
      <c r="A239" s="60">
        <f>IF(B239="","",ROW()-6)</f>
        <v/>
      </c>
      <c r="B239" s="61" t="n"/>
      <c r="C239" s="62" t="n"/>
      <c r="D239" s="63" t="n"/>
      <c r="E239" s="64" t="n"/>
      <c r="F239" s="62" t="n"/>
      <c r="G239" s="62" t="n"/>
      <c r="H239" s="65">
        <f>IF(COUNTA(B239:G239)=0,"",IF(B239="","⚠ нет даты",IF(C239="","⚠ нет категории",IF(NOT(ISNUMBER(E239)),"⚠ нет суммы",IF(E239&lt;=0,"⚠ сумма ≤ 0",IF(AND(Главная!$B$7&lt;&gt;"",B239&lt;Главная!$B$7),"⚠ дата до договора",IF(B239&gt;TODAY(),"ⓘ будущая дата","✓ ОК")))))))</f>
        <v/>
      </c>
      <c r="I239" s="66">
        <f>IF(COUNTA(B239:G239)=0,"",IF(D239&lt;&gt;"",D239,IF(B239="","",DATE(YEAR(B239),MONTH(B239),1))))</f>
        <v/>
      </c>
    </row>
    <row r="240" ht="22" customHeight="1">
      <c r="A240" s="60">
        <f>IF(B240="","",ROW()-6)</f>
        <v/>
      </c>
      <c r="B240" s="61" t="n"/>
      <c r="C240" s="62" t="n"/>
      <c r="D240" s="63" t="n"/>
      <c r="E240" s="64" t="n"/>
      <c r="F240" s="62" t="n"/>
      <c r="G240" s="62" t="n"/>
      <c r="H240" s="65">
        <f>IF(COUNTA(B240:G240)=0,"",IF(B240="","⚠ нет даты",IF(C240="","⚠ нет категории",IF(NOT(ISNUMBER(E240)),"⚠ нет суммы",IF(E240&lt;=0,"⚠ сумма ≤ 0",IF(AND(Главная!$B$7&lt;&gt;"",B240&lt;Главная!$B$7),"⚠ дата до договора",IF(B240&gt;TODAY(),"ⓘ будущая дата","✓ ОК")))))))</f>
        <v/>
      </c>
      <c r="I240" s="66">
        <f>IF(COUNTA(B240:G240)=0,"",IF(D240&lt;&gt;"",D240,IF(B240="","",DATE(YEAR(B240),MONTH(B240),1))))</f>
        <v/>
      </c>
    </row>
    <row r="241" ht="22" customHeight="1">
      <c r="A241" s="60">
        <f>IF(B241="","",ROW()-6)</f>
        <v/>
      </c>
      <c r="B241" s="61" t="n"/>
      <c r="C241" s="62" t="n"/>
      <c r="D241" s="63" t="n"/>
      <c r="E241" s="64" t="n"/>
      <c r="F241" s="62" t="n"/>
      <c r="G241" s="62" t="n"/>
      <c r="H241" s="65">
        <f>IF(COUNTA(B241:G241)=0,"",IF(B241="","⚠ нет даты",IF(C241="","⚠ нет категории",IF(NOT(ISNUMBER(E241)),"⚠ нет суммы",IF(E241&lt;=0,"⚠ сумма ≤ 0",IF(AND(Главная!$B$7&lt;&gt;"",B241&lt;Главная!$B$7),"⚠ дата до договора",IF(B241&gt;TODAY(),"ⓘ будущая дата","✓ ОК")))))))</f>
        <v/>
      </c>
      <c r="I241" s="66">
        <f>IF(COUNTA(B241:G241)=0,"",IF(D241&lt;&gt;"",D241,IF(B241="","",DATE(YEAR(B241),MONTH(B241),1))))</f>
        <v/>
      </c>
    </row>
    <row r="242" ht="22" customHeight="1">
      <c r="A242" s="60">
        <f>IF(B242="","",ROW()-6)</f>
        <v/>
      </c>
      <c r="B242" s="61" t="n"/>
      <c r="C242" s="62" t="n"/>
      <c r="D242" s="63" t="n"/>
      <c r="E242" s="64" t="n"/>
      <c r="F242" s="62" t="n"/>
      <c r="G242" s="62" t="n"/>
      <c r="H242" s="65">
        <f>IF(COUNTA(B242:G242)=0,"",IF(B242="","⚠ нет даты",IF(C242="","⚠ нет категории",IF(NOT(ISNUMBER(E242)),"⚠ нет суммы",IF(E242&lt;=0,"⚠ сумма ≤ 0",IF(AND(Главная!$B$7&lt;&gt;"",B242&lt;Главная!$B$7),"⚠ дата до договора",IF(B242&gt;TODAY(),"ⓘ будущая дата","✓ ОК")))))))</f>
        <v/>
      </c>
      <c r="I242" s="66">
        <f>IF(COUNTA(B242:G242)=0,"",IF(D242&lt;&gt;"",D242,IF(B242="","",DATE(YEAR(B242),MONTH(B242),1))))</f>
        <v/>
      </c>
    </row>
    <row r="243" ht="22" customHeight="1">
      <c r="A243" s="60">
        <f>IF(B243="","",ROW()-6)</f>
        <v/>
      </c>
      <c r="B243" s="61" t="n"/>
      <c r="C243" s="62" t="n"/>
      <c r="D243" s="63" t="n"/>
      <c r="E243" s="64" t="n"/>
      <c r="F243" s="62" t="n"/>
      <c r="G243" s="62" t="n"/>
      <c r="H243" s="65">
        <f>IF(COUNTA(B243:G243)=0,"",IF(B243="","⚠ нет даты",IF(C243="","⚠ нет категории",IF(NOT(ISNUMBER(E243)),"⚠ нет суммы",IF(E243&lt;=0,"⚠ сумма ≤ 0",IF(AND(Главная!$B$7&lt;&gt;"",B243&lt;Главная!$B$7),"⚠ дата до договора",IF(B243&gt;TODAY(),"ⓘ будущая дата","✓ ОК")))))))</f>
        <v/>
      </c>
      <c r="I243" s="66">
        <f>IF(COUNTA(B243:G243)=0,"",IF(D243&lt;&gt;"",D243,IF(B243="","",DATE(YEAR(B243),MONTH(B243),1))))</f>
        <v/>
      </c>
    </row>
    <row r="244" ht="22" customHeight="1">
      <c r="A244" s="60">
        <f>IF(B244="","",ROW()-6)</f>
        <v/>
      </c>
      <c r="B244" s="61" t="n"/>
      <c r="C244" s="62" t="n"/>
      <c r="D244" s="63" t="n"/>
      <c r="E244" s="64" t="n"/>
      <c r="F244" s="62" t="n"/>
      <c r="G244" s="62" t="n"/>
      <c r="H244" s="65">
        <f>IF(COUNTA(B244:G244)=0,"",IF(B244="","⚠ нет даты",IF(C244="","⚠ нет категории",IF(NOT(ISNUMBER(E244)),"⚠ нет суммы",IF(E244&lt;=0,"⚠ сумма ≤ 0",IF(AND(Главная!$B$7&lt;&gt;"",B244&lt;Главная!$B$7),"⚠ дата до договора",IF(B244&gt;TODAY(),"ⓘ будущая дата","✓ ОК")))))))</f>
        <v/>
      </c>
      <c r="I244" s="66">
        <f>IF(COUNTA(B244:G244)=0,"",IF(D244&lt;&gt;"",D244,IF(B244="","",DATE(YEAR(B244),MONTH(B244),1))))</f>
        <v/>
      </c>
    </row>
    <row r="245" ht="22" customHeight="1">
      <c r="A245" s="60">
        <f>IF(B245="","",ROW()-6)</f>
        <v/>
      </c>
      <c r="B245" s="61" t="n"/>
      <c r="C245" s="62" t="n"/>
      <c r="D245" s="63" t="n"/>
      <c r="E245" s="64" t="n"/>
      <c r="F245" s="62" t="n"/>
      <c r="G245" s="62" t="n"/>
      <c r="H245" s="65">
        <f>IF(COUNTA(B245:G245)=0,"",IF(B245="","⚠ нет даты",IF(C245="","⚠ нет категории",IF(NOT(ISNUMBER(E245)),"⚠ нет суммы",IF(E245&lt;=0,"⚠ сумма ≤ 0",IF(AND(Главная!$B$7&lt;&gt;"",B245&lt;Главная!$B$7),"⚠ дата до договора",IF(B245&gt;TODAY(),"ⓘ будущая дата","✓ ОК")))))))</f>
        <v/>
      </c>
      <c r="I245" s="66">
        <f>IF(COUNTA(B245:G245)=0,"",IF(D245&lt;&gt;"",D245,IF(B245="","",DATE(YEAR(B245),MONTH(B245),1))))</f>
        <v/>
      </c>
    </row>
    <row r="246" ht="22" customHeight="1">
      <c r="A246" s="60">
        <f>IF(B246="","",ROW()-6)</f>
        <v/>
      </c>
      <c r="B246" s="61" t="n"/>
      <c r="C246" s="62" t="n"/>
      <c r="D246" s="63" t="n"/>
      <c r="E246" s="64" t="n"/>
      <c r="F246" s="62" t="n"/>
      <c r="G246" s="62" t="n"/>
      <c r="H246" s="65">
        <f>IF(COUNTA(B246:G246)=0,"",IF(B246="","⚠ нет даты",IF(C246="","⚠ нет категории",IF(NOT(ISNUMBER(E246)),"⚠ нет суммы",IF(E246&lt;=0,"⚠ сумма ≤ 0",IF(AND(Главная!$B$7&lt;&gt;"",B246&lt;Главная!$B$7),"⚠ дата до договора",IF(B246&gt;TODAY(),"ⓘ будущая дата","✓ ОК")))))))</f>
        <v/>
      </c>
      <c r="I246" s="66">
        <f>IF(COUNTA(B246:G246)=0,"",IF(D246&lt;&gt;"",D246,IF(B246="","",DATE(YEAR(B246),MONTH(B246),1))))</f>
        <v/>
      </c>
    </row>
    <row r="247" ht="22" customHeight="1">
      <c r="A247" s="60">
        <f>IF(B247="","",ROW()-6)</f>
        <v/>
      </c>
      <c r="B247" s="61" t="n"/>
      <c r="C247" s="62" t="n"/>
      <c r="D247" s="63" t="n"/>
      <c r="E247" s="64" t="n"/>
      <c r="F247" s="62" t="n"/>
      <c r="G247" s="62" t="n"/>
      <c r="H247" s="65">
        <f>IF(COUNTA(B247:G247)=0,"",IF(B247="","⚠ нет даты",IF(C247="","⚠ нет категории",IF(NOT(ISNUMBER(E247)),"⚠ нет суммы",IF(E247&lt;=0,"⚠ сумма ≤ 0",IF(AND(Главная!$B$7&lt;&gt;"",B247&lt;Главная!$B$7),"⚠ дата до договора",IF(B247&gt;TODAY(),"ⓘ будущая дата","✓ ОК")))))))</f>
        <v/>
      </c>
      <c r="I247" s="66">
        <f>IF(COUNTA(B247:G247)=0,"",IF(D247&lt;&gt;"",D247,IF(B247="","",DATE(YEAR(B247),MONTH(B247),1))))</f>
        <v/>
      </c>
    </row>
    <row r="248" ht="22" customHeight="1">
      <c r="A248" s="60">
        <f>IF(B248="","",ROW()-6)</f>
        <v/>
      </c>
      <c r="B248" s="61" t="n"/>
      <c r="C248" s="62" t="n"/>
      <c r="D248" s="63" t="n"/>
      <c r="E248" s="64" t="n"/>
      <c r="F248" s="62" t="n"/>
      <c r="G248" s="62" t="n"/>
      <c r="H248" s="65">
        <f>IF(COUNTA(B248:G248)=0,"",IF(B248="","⚠ нет даты",IF(C248="","⚠ нет категории",IF(NOT(ISNUMBER(E248)),"⚠ нет суммы",IF(E248&lt;=0,"⚠ сумма ≤ 0",IF(AND(Главная!$B$7&lt;&gt;"",B248&lt;Главная!$B$7),"⚠ дата до договора",IF(B248&gt;TODAY(),"ⓘ будущая дата","✓ ОК")))))))</f>
        <v/>
      </c>
      <c r="I248" s="66">
        <f>IF(COUNTA(B248:G248)=0,"",IF(D248&lt;&gt;"",D248,IF(B248="","",DATE(YEAR(B248),MONTH(B248),1))))</f>
        <v/>
      </c>
    </row>
    <row r="249" ht="22" customHeight="1">
      <c r="A249" s="60">
        <f>IF(B249="","",ROW()-6)</f>
        <v/>
      </c>
      <c r="B249" s="61" t="n"/>
      <c r="C249" s="62" t="n"/>
      <c r="D249" s="63" t="n"/>
      <c r="E249" s="64" t="n"/>
      <c r="F249" s="62" t="n"/>
      <c r="G249" s="62" t="n"/>
      <c r="H249" s="65">
        <f>IF(COUNTA(B249:G249)=0,"",IF(B249="","⚠ нет даты",IF(C249="","⚠ нет категории",IF(NOT(ISNUMBER(E249)),"⚠ нет суммы",IF(E249&lt;=0,"⚠ сумма ≤ 0",IF(AND(Главная!$B$7&lt;&gt;"",B249&lt;Главная!$B$7),"⚠ дата до договора",IF(B249&gt;TODAY(),"ⓘ будущая дата","✓ ОК")))))))</f>
        <v/>
      </c>
      <c r="I249" s="66">
        <f>IF(COUNTA(B249:G249)=0,"",IF(D249&lt;&gt;"",D249,IF(B249="","",DATE(YEAR(B249),MONTH(B249),1))))</f>
        <v/>
      </c>
    </row>
    <row r="250" ht="22" customHeight="1">
      <c r="A250" s="60">
        <f>IF(B250="","",ROW()-6)</f>
        <v/>
      </c>
      <c r="B250" s="61" t="n"/>
      <c r="C250" s="62" t="n"/>
      <c r="D250" s="63" t="n"/>
      <c r="E250" s="64" t="n"/>
      <c r="F250" s="62" t="n"/>
      <c r="G250" s="62" t="n"/>
      <c r="H250" s="65">
        <f>IF(COUNTA(B250:G250)=0,"",IF(B250="","⚠ нет даты",IF(C250="","⚠ нет категории",IF(NOT(ISNUMBER(E250)),"⚠ нет суммы",IF(E250&lt;=0,"⚠ сумма ≤ 0",IF(AND(Главная!$B$7&lt;&gt;"",B250&lt;Главная!$B$7),"⚠ дата до договора",IF(B250&gt;TODAY(),"ⓘ будущая дата","✓ ОК")))))))</f>
        <v/>
      </c>
      <c r="I250" s="66">
        <f>IF(COUNTA(B250:G250)=0,"",IF(D250&lt;&gt;"",D250,IF(B250="","",DATE(YEAR(B250),MONTH(B250),1))))</f>
        <v/>
      </c>
    </row>
    <row r="251" ht="22" customHeight="1">
      <c r="A251" s="60">
        <f>IF(B251="","",ROW()-6)</f>
        <v/>
      </c>
      <c r="B251" s="61" t="n"/>
      <c r="C251" s="62" t="n"/>
      <c r="D251" s="63" t="n"/>
      <c r="E251" s="64" t="n"/>
      <c r="F251" s="62" t="n"/>
      <c r="G251" s="62" t="n"/>
      <c r="H251" s="65">
        <f>IF(COUNTA(B251:G251)=0,"",IF(B251="","⚠ нет даты",IF(C251="","⚠ нет категории",IF(NOT(ISNUMBER(E251)),"⚠ нет суммы",IF(E251&lt;=0,"⚠ сумма ≤ 0",IF(AND(Главная!$B$7&lt;&gt;"",B251&lt;Главная!$B$7),"⚠ дата до договора",IF(B251&gt;TODAY(),"ⓘ будущая дата","✓ ОК")))))))</f>
        <v/>
      </c>
      <c r="I251" s="66">
        <f>IF(COUNTA(B251:G251)=0,"",IF(D251&lt;&gt;"",D251,IF(B251="","",DATE(YEAR(B251),MONTH(B251),1))))</f>
        <v/>
      </c>
    </row>
    <row r="252" ht="22" customHeight="1">
      <c r="A252" s="60">
        <f>IF(B252="","",ROW()-6)</f>
        <v/>
      </c>
      <c r="B252" s="61" t="n"/>
      <c r="C252" s="62" t="n"/>
      <c r="D252" s="63" t="n"/>
      <c r="E252" s="64" t="n"/>
      <c r="F252" s="62" t="n"/>
      <c r="G252" s="62" t="n"/>
      <c r="H252" s="65">
        <f>IF(COUNTA(B252:G252)=0,"",IF(B252="","⚠ нет даты",IF(C252="","⚠ нет категории",IF(NOT(ISNUMBER(E252)),"⚠ нет суммы",IF(E252&lt;=0,"⚠ сумма ≤ 0",IF(AND(Главная!$B$7&lt;&gt;"",B252&lt;Главная!$B$7),"⚠ дата до договора",IF(B252&gt;TODAY(),"ⓘ будущая дата","✓ ОК")))))))</f>
        <v/>
      </c>
      <c r="I252" s="66">
        <f>IF(COUNTA(B252:G252)=0,"",IF(D252&lt;&gt;"",D252,IF(B252="","",DATE(YEAR(B252),MONTH(B252),1))))</f>
        <v/>
      </c>
    </row>
    <row r="253" ht="22" customHeight="1">
      <c r="A253" s="60">
        <f>IF(B253="","",ROW()-6)</f>
        <v/>
      </c>
      <c r="B253" s="61" t="n"/>
      <c r="C253" s="62" t="n"/>
      <c r="D253" s="63" t="n"/>
      <c r="E253" s="64" t="n"/>
      <c r="F253" s="62" t="n"/>
      <c r="G253" s="62" t="n"/>
      <c r="H253" s="65">
        <f>IF(COUNTA(B253:G253)=0,"",IF(B253="","⚠ нет даты",IF(C253="","⚠ нет категории",IF(NOT(ISNUMBER(E253)),"⚠ нет суммы",IF(E253&lt;=0,"⚠ сумма ≤ 0",IF(AND(Главная!$B$7&lt;&gt;"",B253&lt;Главная!$B$7),"⚠ дата до договора",IF(B253&gt;TODAY(),"ⓘ будущая дата","✓ ОК")))))))</f>
        <v/>
      </c>
      <c r="I253" s="66">
        <f>IF(COUNTA(B253:G253)=0,"",IF(D253&lt;&gt;"",D253,IF(B253="","",DATE(YEAR(B253),MONTH(B253),1))))</f>
        <v/>
      </c>
    </row>
    <row r="254" ht="22" customHeight="1">
      <c r="A254" s="60">
        <f>IF(B254="","",ROW()-6)</f>
        <v/>
      </c>
      <c r="B254" s="61" t="n"/>
      <c r="C254" s="62" t="n"/>
      <c r="D254" s="63" t="n"/>
      <c r="E254" s="64" t="n"/>
      <c r="F254" s="62" t="n"/>
      <c r="G254" s="62" t="n"/>
      <c r="H254" s="65">
        <f>IF(COUNTA(B254:G254)=0,"",IF(B254="","⚠ нет даты",IF(C254="","⚠ нет категории",IF(NOT(ISNUMBER(E254)),"⚠ нет суммы",IF(E254&lt;=0,"⚠ сумма ≤ 0",IF(AND(Главная!$B$7&lt;&gt;"",B254&lt;Главная!$B$7),"⚠ дата до договора",IF(B254&gt;TODAY(),"ⓘ будущая дата","✓ ОК")))))))</f>
        <v/>
      </c>
      <c r="I254" s="66">
        <f>IF(COUNTA(B254:G254)=0,"",IF(D254&lt;&gt;"",D254,IF(B254="","",DATE(YEAR(B254),MONTH(B254),1))))</f>
        <v/>
      </c>
    </row>
    <row r="255" ht="22" customHeight="1">
      <c r="A255" s="60">
        <f>IF(B255="","",ROW()-6)</f>
        <v/>
      </c>
      <c r="B255" s="61" t="n"/>
      <c r="C255" s="62" t="n"/>
      <c r="D255" s="63" t="n"/>
      <c r="E255" s="64" t="n"/>
      <c r="F255" s="62" t="n"/>
      <c r="G255" s="62" t="n"/>
      <c r="H255" s="65">
        <f>IF(COUNTA(B255:G255)=0,"",IF(B255="","⚠ нет даты",IF(C255="","⚠ нет категории",IF(NOT(ISNUMBER(E255)),"⚠ нет суммы",IF(E255&lt;=0,"⚠ сумма ≤ 0",IF(AND(Главная!$B$7&lt;&gt;"",B255&lt;Главная!$B$7),"⚠ дата до договора",IF(B255&gt;TODAY(),"ⓘ будущая дата","✓ ОК")))))))</f>
        <v/>
      </c>
      <c r="I255" s="66">
        <f>IF(COUNTA(B255:G255)=0,"",IF(D255&lt;&gt;"",D255,IF(B255="","",DATE(YEAR(B255),MONTH(B255),1))))</f>
        <v/>
      </c>
    </row>
    <row r="256" ht="22" customHeight="1">
      <c r="A256" s="60">
        <f>IF(B256="","",ROW()-6)</f>
        <v/>
      </c>
      <c r="B256" s="61" t="n"/>
      <c r="C256" s="62" t="n"/>
      <c r="D256" s="63" t="n"/>
      <c r="E256" s="64" t="n"/>
      <c r="F256" s="62" t="n"/>
      <c r="G256" s="62" t="n"/>
      <c r="H256" s="65">
        <f>IF(COUNTA(B256:G256)=0,"",IF(B256="","⚠ нет даты",IF(C256="","⚠ нет категории",IF(NOT(ISNUMBER(E256)),"⚠ нет суммы",IF(E256&lt;=0,"⚠ сумма ≤ 0",IF(AND(Главная!$B$7&lt;&gt;"",B256&lt;Главная!$B$7),"⚠ дата до договора",IF(B256&gt;TODAY(),"ⓘ будущая дата","✓ ОК")))))))</f>
        <v/>
      </c>
      <c r="I256" s="66">
        <f>IF(COUNTA(B256:G256)=0,"",IF(D256&lt;&gt;"",D256,IF(B256="","",DATE(YEAR(B256),MONTH(B256),1))))</f>
        <v/>
      </c>
    </row>
    <row r="257" ht="22" customHeight="1">
      <c r="A257" s="60">
        <f>IF(B257="","",ROW()-6)</f>
        <v/>
      </c>
      <c r="B257" s="61" t="n"/>
      <c r="C257" s="62" t="n"/>
      <c r="D257" s="63" t="n"/>
      <c r="E257" s="64" t="n"/>
      <c r="F257" s="62" t="n"/>
      <c r="G257" s="62" t="n"/>
      <c r="H257" s="65">
        <f>IF(COUNTA(B257:G257)=0,"",IF(B257="","⚠ нет даты",IF(C257="","⚠ нет категории",IF(NOT(ISNUMBER(E257)),"⚠ нет суммы",IF(E257&lt;=0,"⚠ сумма ≤ 0",IF(AND(Главная!$B$7&lt;&gt;"",B257&lt;Главная!$B$7),"⚠ дата до договора",IF(B257&gt;TODAY(),"ⓘ будущая дата","✓ ОК")))))))</f>
        <v/>
      </c>
      <c r="I257" s="66">
        <f>IF(COUNTA(B257:G257)=0,"",IF(D257&lt;&gt;"",D257,IF(B257="","",DATE(YEAR(B257),MONTH(B257),1))))</f>
        <v/>
      </c>
    </row>
    <row r="258" ht="22" customHeight="1">
      <c r="A258" s="60">
        <f>IF(B258="","",ROW()-6)</f>
        <v/>
      </c>
      <c r="B258" s="61" t="n"/>
      <c r="C258" s="62" t="n"/>
      <c r="D258" s="63" t="n"/>
      <c r="E258" s="64" t="n"/>
      <c r="F258" s="62" t="n"/>
      <c r="G258" s="62" t="n"/>
      <c r="H258" s="65">
        <f>IF(COUNTA(B258:G258)=0,"",IF(B258="","⚠ нет даты",IF(C258="","⚠ нет категории",IF(NOT(ISNUMBER(E258)),"⚠ нет суммы",IF(E258&lt;=0,"⚠ сумма ≤ 0",IF(AND(Главная!$B$7&lt;&gt;"",B258&lt;Главная!$B$7),"⚠ дата до договора",IF(B258&gt;TODAY(),"ⓘ будущая дата","✓ ОК")))))))</f>
        <v/>
      </c>
      <c r="I258" s="66">
        <f>IF(COUNTA(B258:G258)=0,"",IF(D258&lt;&gt;"",D258,IF(B258="","",DATE(YEAR(B258),MONTH(B258),1))))</f>
        <v/>
      </c>
    </row>
    <row r="259" ht="22" customHeight="1">
      <c r="A259" s="60">
        <f>IF(B259="","",ROW()-6)</f>
        <v/>
      </c>
      <c r="B259" s="61" t="n"/>
      <c r="C259" s="62" t="n"/>
      <c r="D259" s="63" t="n"/>
      <c r="E259" s="64" t="n"/>
      <c r="F259" s="62" t="n"/>
      <c r="G259" s="62" t="n"/>
      <c r="H259" s="65">
        <f>IF(COUNTA(B259:G259)=0,"",IF(B259="","⚠ нет даты",IF(C259="","⚠ нет категории",IF(NOT(ISNUMBER(E259)),"⚠ нет суммы",IF(E259&lt;=0,"⚠ сумма ≤ 0",IF(AND(Главная!$B$7&lt;&gt;"",B259&lt;Главная!$B$7),"⚠ дата до договора",IF(B259&gt;TODAY(),"ⓘ будущая дата","✓ ОК")))))))</f>
        <v/>
      </c>
      <c r="I259" s="66">
        <f>IF(COUNTA(B259:G259)=0,"",IF(D259&lt;&gt;"",D259,IF(B259="","",DATE(YEAR(B259),MONTH(B259),1))))</f>
        <v/>
      </c>
    </row>
    <row r="260" ht="22" customHeight="1">
      <c r="A260" s="60">
        <f>IF(B260="","",ROW()-6)</f>
        <v/>
      </c>
      <c r="B260" s="61" t="n"/>
      <c r="C260" s="62" t="n"/>
      <c r="D260" s="63" t="n"/>
      <c r="E260" s="64" t="n"/>
      <c r="F260" s="62" t="n"/>
      <c r="G260" s="62" t="n"/>
      <c r="H260" s="65">
        <f>IF(COUNTA(B260:G260)=0,"",IF(B260="","⚠ нет даты",IF(C260="","⚠ нет категории",IF(NOT(ISNUMBER(E260)),"⚠ нет суммы",IF(E260&lt;=0,"⚠ сумма ≤ 0",IF(AND(Главная!$B$7&lt;&gt;"",B260&lt;Главная!$B$7),"⚠ дата до договора",IF(B260&gt;TODAY(),"ⓘ будущая дата","✓ ОК")))))))</f>
        <v/>
      </c>
      <c r="I260" s="66">
        <f>IF(COUNTA(B260:G260)=0,"",IF(D260&lt;&gt;"",D260,IF(B260="","",DATE(YEAR(B260),MONTH(B260),1))))</f>
        <v/>
      </c>
    </row>
    <row r="261" ht="22" customHeight="1">
      <c r="A261" s="60">
        <f>IF(B261="","",ROW()-6)</f>
        <v/>
      </c>
      <c r="B261" s="61" t="n"/>
      <c r="C261" s="62" t="n"/>
      <c r="D261" s="63" t="n"/>
      <c r="E261" s="64" t="n"/>
      <c r="F261" s="62" t="n"/>
      <c r="G261" s="62" t="n"/>
      <c r="H261" s="65">
        <f>IF(COUNTA(B261:G261)=0,"",IF(B261="","⚠ нет даты",IF(C261="","⚠ нет категории",IF(NOT(ISNUMBER(E261)),"⚠ нет суммы",IF(E261&lt;=0,"⚠ сумма ≤ 0",IF(AND(Главная!$B$7&lt;&gt;"",B261&lt;Главная!$B$7),"⚠ дата до договора",IF(B261&gt;TODAY(),"ⓘ будущая дата","✓ ОК")))))))</f>
        <v/>
      </c>
      <c r="I261" s="66">
        <f>IF(COUNTA(B261:G261)=0,"",IF(D261&lt;&gt;"",D261,IF(B261="","",DATE(YEAR(B261),MONTH(B261),1))))</f>
        <v/>
      </c>
    </row>
    <row r="262" ht="22" customHeight="1">
      <c r="A262" s="60">
        <f>IF(B262="","",ROW()-6)</f>
        <v/>
      </c>
      <c r="B262" s="61" t="n"/>
      <c r="C262" s="62" t="n"/>
      <c r="D262" s="63" t="n"/>
      <c r="E262" s="64" t="n"/>
      <c r="F262" s="62" t="n"/>
      <c r="G262" s="62" t="n"/>
      <c r="H262" s="65">
        <f>IF(COUNTA(B262:G262)=0,"",IF(B262="","⚠ нет даты",IF(C262="","⚠ нет категории",IF(NOT(ISNUMBER(E262)),"⚠ нет суммы",IF(E262&lt;=0,"⚠ сумма ≤ 0",IF(AND(Главная!$B$7&lt;&gt;"",B262&lt;Главная!$B$7),"⚠ дата до договора",IF(B262&gt;TODAY(),"ⓘ будущая дата","✓ ОК")))))))</f>
        <v/>
      </c>
      <c r="I262" s="66">
        <f>IF(COUNTA(B262:G262)=0,"",IF(D262&lt;&gt;"",D262,IF(B262="","",DATE(YEAR(B262),MONTH(B262),1))))</f>
        <v/>
      </c>
    </row>
    <row r="263" ht="22" customHeight="1">
      <c r="A263" s="60">
        <f>IF(B263="","",ROW()-6)</f>
        <v/>
      </c>
      <c r="B263" s="61" t="n"/>
      <c r="C263" s="62" t="n"/>
      <c r="D263" s="63" t="n"/>
      <c r="E263" s="64" t="n"/>
      <c r="F263" s="62" t="n"/>
      <c r="G263" s="62" t="n"/>
      <c r="H263" s="65">
        <f>IF(COUNTA(B263:G263)=0,"",IF(B263="","⚠ нет даты",IF(C263="","⚠ нет категории",IF(NOT(ISNUMBER(E263)),"⚠ нет суммы",IF(E263&lt;=0,"⚠ сумма ≤ 0",IF(AND(Главная!$B$7&lt;&gt;"",B263&lt;Главная!$B$7),"⚠ дата до договора",IF(B263&gt;TODAY(),"ⓘ будущая дата","✓ ОК")))))))</f>
        <v/>
      </c>
      <c r="I263" s="66">
        <f>IF(COUNTA(B263:G263)=0,"",IF(D263&lt;&gt;"",D263,IF(B263="","",DATE(YEAR(B263),MONTH(B263),1))))</f>
        <v/>
      </c>
    </row>
    <row r="264" ht="22" customHeight="1">
      <c r="A264" s="60">
        <f>IF(B264="","",ROW()-6)</f>
        <v/>
      </c>
      <c r="B264" s="61" t="n"/>
      <c r="C264" s="62" t="n"/>
      <c r="D264" s="63" t="n"/>
      <c r="E264" s="64" t="n"/>
      <c r="F264" s="62" t="n"/>
      <c r="G264" s="62" t="n"/>
      <c r="H264" s="65">
        <f>IF(COUNTA(B264:G264)=0,"",IF(B264="","⚠ нет даты",IF(C264="","⚠ нет категории",IF(NOT(ISNUMBER(E264)),"⚠ нет суммы",IF(E264&lt;=0,"⚠ сумма ≤ 0",IF(AND(Главная!$B$7&lt;&gt;"",B264&lt;Главная!$B$7),"⚠ дата до договора",IF(B264&gt;TODAY(),"ⓘ будущая дата","✓ ОК")))))))</f>
        <v/>
      </c>
      <c r="I264" s="66">
        <f>IF(COUNTA(B264:G264)=0,"",IF(D264&lt;&gt;"",D264,IF(B264="","",DATE(YEAR(B264),MONTH(B264),1))))</f>
        <v/>
      </c>
    </row>
    <row r="265" ht="22" customHeight="1">
      <c r="A265" s="60">
        <f>IF(B265="","",ROW()-6)</f>
        <v/>
      </c>
      <c r="B265" s="61" t="n"/>
      <c r="C265" s="62" t="n"/>
      <c r="D265" s="63" t="n"/>
      <c r="E265" s="64" t="n"/>
      <c r="F265" s="62" t="n"/>
      <c r="G265" s="62" t="n"/>
      <c r="H265" s="65">
        <f>IF(COUNTA(B265:G265)=0,"",IF(B265="","⚠ нет даты",IF(C265="","⚠ нет категории",IF(NOT(ISNUMBER(E265)),"⚠ нет суммы",IF(E265&lt;=0,"⚠ сумма ≤ 0",IF(AND(Главная!$B$7&lt;&gt;"",B265&lt;Главная!$B$7),"⚠ дата до договора",IF(B265&gt;TODAY(),"ⓘ будущая дата","✓ ОК")))))))</f>
        <v/>
      </c>
      <c r="I265" s="66">
        <f>IF(COUNTA(B265:G265)=0,"",IF(D265&lt;&gt;"",D265,IF(B265="","",DATE(YEAR(B265),MONTH(B265),1))))</f>
        <v/>
      </c>
    </row>
    <row r="266" ht="22" customHeight="1">
      <c r="A266" s="60">
        <f>IF(B266="","",ROW()-6)</f>
        <v/>
      </c>
      <c r="B266" s="61" t="n"/>
      <c r="C266" s="62" t="n"/>
      <c r="D266" s="63" t="n"/>
      <c r="E266" s="64" t="n"/>
      <c r="F266" s="62" t="n"/>
      <c r="G266" s="62" t="n"/>
      <c r="H266" s="65">
        <f>IF(COUNTA(B266:G266)=0,"",IF(B266="","⚠ нет даты",IF(C266="","⚠ нет категории",IF(NOT(ISNUMBER(E266)),"⚠ нет суммы",IF(E266&lt;=0,"⚠ сумма ≤ 0",IF(AND(Главная!$B$7&lt;&gt;"",B266&lt;Главная!$B$7),"⚠ дата до договора",IF(B266&gt;TODAY(),"ⓘ будущая дата","✓ ОК")))))))</f>
        <v/>
      </c>
      <c r="I266" s="66">
        <f>IF(COUNTA(B266:G266)=0,"",IF(D266&lt;&gt;"",D266,IF(B266="","",DATE(YEAR(B266),MONTH(B266),1))))</f>
        <v/>
      </c>
    </row>
    <row r="267" ht="22" customHeight="1">
      <c r="A267" s="60">
        <f>IF(B267="","",ROW()-6)</f>
        <v/>
      </c>
      <c r="B267" s="61" t="n"/>
      <c r="C267" s="62" t="n"/>
      <c r="D267" s="63" t="n"/>
      <c r="E267" s="64" t="n"/>
      <c r="F267" s="62" t="n"/>
      <c r="G267" s="62" t="n"/>
      <c r="H267" s="65">
        <f>IF(COUNTA(B267:G267)=0,"",IF(B267="","⚠ нет даты",IF(C267="","⚠ нет категории",IF(NOT(ISNUMBER(E267)),"⚠ нет суммы",IF(E267&lt;=0,"⚠ сумма ≤ 0",IF(AND(Главная!$B$7&lt;&gt;"",B267&lt;Главная!$B$7),"⚠ дата до договора",IF(B267&gt;TODAY(),"ⓘ будущая дата","✓ ОК")))))))</f>
        <v/>
      </c>
      <c r="I267" s="66">
        <f>IF(COUNTA(B267:G267)=0,"",IF(D267&lt;&gt;"",D267,IF(B267="","",DATE(YEAR(B267),MONTH(B267),1))))</f>
        <v/>
      </c>
    </row>
    <row r="268" ht="22" customHeight="1">
      <c r="A268" s="60">
        <f>IF(B268="","",ROW()-6)</f>
        <v/>
      </c>
      <c r="B268" s="61" t="n"/>
      <c r="C268" s="62" t="n"/>
      <c r="D268" s="63" t="n"/>
      <c r="E268" s="64" t="n"/>
      <c r="F268" s="62" t="n"/>
      <c r="G268" s="62" t="n"/>
      <c r="H268" s="65">
        <f>IF(COUNTA(B268:G268)=0,"",IF(B268="","⚠ нет даты",IF(C268="","⚠ нет категории",IF(NOT(ISNUMBER(E268)),"⚠ нет суммы",IF(E268&lt;=0,"⚠ сумма ≤ 0",IF(AND(Главная!$B$7&lt;&gt;"",B268&lt;Главная!$B$7),"⚠ дата до договора",IF(B268&gt;TODAY(),"ⓘ будущая дата","✓ ОК")))))))</f>
        <v/>
      </c>
      <c r="I268" s="66">
        <f>IF(COUNTA(B268:G268)=0,"",IF(D268&lt;&gt;"",D268,IF(B268="","",DATE(YEAR(B268),MONTH(B268),1))))</f>
        <v/>
      </c>
    </row>
    <row r="269" ht="22" customHeight="1">
      <c r="A269" s="60">
        <f>IF(B269="","",ROW()-6)</f>
        <v/>
      </c>
      <c r="B269" s="61" t="n"/>
      <c r="C269" s="62" t="n"/>
      <c r="D269" s="63" t="n"/>
      <c r="E269" s="64" t="n"/>
      <c r="F269" s="62" t="n"/>
      <c r="G269" s="62" t="n"/>
      <c r="H269" s="65">
        <f>IF(COUNTA(B269:G269)=0,"",IF(B269="","⚠ нет даты",IF(C269="","⚠ нет категории",IF(NOT(ISNUMBER(E269)),"⚠ нет суммы",IF(E269&lt;=0,"⚠ сумма ≤ 0",IF(AND(Главная!$B$7&lt;&gt;"",B269&lt;Главная!$B$7),"⚠ дата до договора",IF(B269&gt;TODAY(),"ⓘ будущая дата","✓ ОК")))))))</f>
        <v/>
      </c>
      <c r="I269" s="66">
        <f>IF(COUNTA(B269:G269)=0,"",IF(D269&lt;&gt;"",D269,IF(B269="","",DATE(YEAR(B269),MONTH(B269),1))))</f>
        <v/>
      </c>
    </row>
    <row r="270" ht="22" customHeight="1">
      <c r="A270" s="60">
        <f>IF(B270="","",ROW()-6)</f>
        <v/>
      </c>
      <c r="B270" s="61" t="n"/>
      <c r="C270" s="62" t="n"/>
      <c r="D270" s="63" t="n"/>
      <c r="E270" s="64" t="n"/>
      <c r="F270" s="62" t="n"/>
      <c r="G270" s="62" t="n"/>
      <c r="H270" s="65">
        <f>IF(COUNTA(B270:G270)=0,"",IF(B270="","⚠ нет даты",IF(C270="","⚠ нет категории",IF(NOT(ISNUMBER(E270)),"⚠ нет суммы",IF(E270&lt;=0,"⚠ сумма ≤ 0",IF(AND(Главная!$B$7&lt;&gt;"",B270&lt;Главная!$B$7),"⚠ дата до договора",IF(B270&gt;TODAY(),"ⓘ будущая дата","✓ ОК")))))))</f>
        <v/>
      </c>
      <c r="I270" s="66">
        <f>IF(COUNTA(B270:G270)=0,"",IF(D270&lt;&gt;"",D270,IF(B270="","",DATE(YEAR(B270),MONTH(B270),1))))</f>
        <v/>
      </c>
    </row>
    <row r="271" ht="22" customHeight="1">
      <c r="A271" s="60">
        <f>IF(B271="","",ROW()-6)</f>
        <v/>
      </c>
      <c r="B271" s="61" t="n"/>
      <c r="C271" s="62" t="n"/>
      <c r="D271" s="63" t="n"/>
      <c r="E271" s="64" t="n"/>
      <c r="F271" s="62" t="n"/>
      <c r="G271" s="62" t="n"/>
      <c r="H271" s="65">
        <f>IF(COUNTA(B271:G271)=0,"",IF(B271="","⚠ нет даты",IF(C271="","⚠ нет категории",IF(NOT(ISNUMBER(E271)),"⚠ нет суммы",IF(E271&lt;=0,"⚠ сумма ≤ 0",IF(AND(Главная!$B$7&lt;&gt;"",B271&lt;Главная!$B$7),"⚠ дата до договора",IF(B271&gt;TODAY(),"ⓘ будущая дата","✓ ОК")))))))</f>
        <v/>
      </c>
      <c r="I271" s="66">
        <f>IF(COUNTA(B271:G271)=0,"",IF(D271&lt;&gt;"",D271,IF(B271="","",DATE(YEAR(B271),MONTH(B271),1))))</f>
        <v/>
      </c>
    </row>
    <row r="272" ht="22" customHeight="1">
      <c r="A272" s="60">
        <f>IF(B272="","",ROW()-6)</f>
        <v/>
      </c>
      <c r="B272" s="61" t="n"/>
      <c r="C272" s="62" t="n"/>
      <c r="D272" s="63" t="n"/>
      <c r="E272" s="64" t="n"/>
      <c r="F272" s="62" t="n"/>
      <c r="G272" s="62" t="n"/>
      <c r="H272" s="65">
        <f>IF(COUNTA(B272:G272)=0,"",IF(B272="","⚠ нет даты",IF(C272="","⚠ нет категории",IF(NOT(ISNUMBER(E272)),"⚠ нет суммы",IF(E272&lt;=0,"⚠ сумма ≤ 0",IF(AND(Главная!$B$7&lt;&gt;"",B272&lt;Главная!$B$7),"⚠ дата до договора",IF(B272&gt;TODAY(),"ⓘ будущая дата","✓ ОК")))))))</f>
        <v/>
      </c>
      <c r="I272" s="66">
        <f>IF(COUNTA(B272:G272)=0,"",IF(D272&lt;&gt;"",D272,IF(B272="","",DATE(YEAR(B272),MONTH(B272),1))))</f>
        <v/>
      </c>
    </row>
    <row r="273" ht="22" customHeight="1">
      <c r="A273" s="60">
        <f>IF(B273="","",ROW()-6)</f>
        <v/>
      </c>
      <c r="B273" s="61" t="n"/>
      <c r="C273" s="62" t="n"/>
      <c r="D273" s="63" t="n"/>
      <c r="E273" s="64" t="n"/>
      <c r="F273" s="62" t="n"/>
      <c r="G273" s="62" t="n"/>
      <c r="H273" s="65">
        <f>IF(COUNTA(B273:G273)=0,"",IF(B273="","⚠ нет даты",IF(C273="","⚠ нет категории",IF(NOT(ISNUMBER(E273)),"⚠ нет суммы",IF(E273&lt;=0,"⚠ сумма ≤ 0",IF(AND(Главная!$B$7&lt;&gt;"",B273&lt;Главная!$B$7),"⚠ дата до договора",IF(B273&gt;TODAY(),"ⓘ будущая дата","✓ ОК")))))))</f>
        <v/>
      </c>
      <c r="I273" s="66">
        <f>IF(COUNTA(B273:G273)=0,"",IF(D273&lt;&gt;"",D273,IF(B273="","",DATE(YEAR(B273),MONTH(B273),1))))</f>
        <v/>
      </c>
    </row>
    <row r="274" ht="22" customHeight="1">
      <c r="A274" s="60">
        <f>IF(B274="","",ROW()-6)</f>
        <v/>
      </c>
      <c r="B274" s="61" t="n"/>
      <c r="C274" s="62" t="n"/>
      <c r="D274" s="63" t="n"/>
      <c r="E274" s="64" t="n"/>
      <c r="F274" s="62" t="n"/>
      <c r="G274" s="62" t="n"/>
      <c r="H274" s="65">
        <f>IF(COUNTA(B274:G274)=0,"",IF(B274="","⚠ нет даты",IF(C274="","⚠ нет категории",IF(NOT(ISNUMBER(E274)),"⚠ нет суммы",IF(E274&lt;=0,"⚠ сумма ≤ 0",IF(AND(Главная!$B$7&lt;&gt;"",B274&lt;Главная!$B$7),"⚠ дата до договора",IF(B274&gt;TODAY(),"ⓘ будущая дата","✓ ОК")))))))</f>
        <v/>
      </c>
      <c r="I274" s="66">
        <f>IF(COUNTA(B274:G274)=0,"",IF(D274&lt;&gt;"",D274,IF(B274="","",DATE(YEAR(B274),MONTH(B274),1))))</f>
        <v/>
      </c>
    </row>
    <row r="275" ht="22" customHeight="1">
      <c r="A275" s="60">
        <f>IF(B275="","",ROW()-6)</f>
        <v/>
      </c>
      <c r="B275" s="61" t="n"/>
      <c r="C275" s="62" t="n"/>
      <c r="D275" s="63" t="n"/>
      <c r="E275" s="64" t="n"/>
      <c r="F275" s="62" t="n"/>
      <c r="G275" s="62" t="n"/>
      <c r="H275" s="65">
        <f>IF(COUNTA(B275:G275)=0,"",IF(B275="","⚠ нет даты",IF(C275="","⚠ нет категории",IF(NOT(ISNUMBER(E275)),"⚠ нет суммы",IF(E275&lt;=0,"⚠ сумма ≤ 0",IF(AND(Главная!$B$7&lt;&gt;"",B275&lt;Главная!$B$7),"⚠ дата до договора",IF(B275&gt;TODAY(),"ⓘ будущая дата","✓ ОК")))))))</f>
        <v/>
      </c>
      <c r="I275" s="66">
        <f>IF(COUNTA(B275:G275)=0,"",IF(D275&lt;&gt;"",D275,IF(B275="","",DATE(YEAR(B275),MONTH(B275),1))))</f>
        <v/>
      </c>
    </row>
    <row r="276" ht="22" customHeight="1">
      <c r="A276" s="60">
        <f>IF(B276="","",ROW()-6)</f>
        <v/>
      </c>
      <c r="B276" s="61" t="n"/>
      <c r="C276" s="62" t="n"/>
      <c r="D276" s="63" t="n"/>
      <c r="E276" s="64" t="n"/>
      <c r="F276" s="62" t="n"/>
      <c r="G276" s="62" t="n"/>
      <c r="H276" s="65">
        <f>IF(COUNTA(B276:G276)=0,"",IF(B276="","⚠ нет даты",IF(C276="","⚠ нет категории",IF(NOT(ISNUMBER(E276)),"⚠ нет суммы",IF(E276&lt;=0,"⚠ сумма ≤ 0",IF(AND(Главная!$B$7&lt;&gt;"",B276&lt;Главная!$B$7),"⚠ дата до договора",IF(B276&gt;TODAY(),"ⓘ будущая дата","✓ ОК")))))))</f>
        <v/>
      </c>
      <c r="I276" s="66">
        <f>IF(COUNTA(B276:G276)=0,"",IF(D276&lt;&gt;"",D276,IF(B276="","",DATE(YEAR(B276),MONTH(B276),1))))</f>
        <v/>
      </c>
    </row>
    <row r="277" ht="22" customHeight="1">
      <c r="A277" s="60">
        <f>IF(B277="","",ROW()-6)</f>
        <v/>
      </c>
      <c r="B277" s="61" t="n"/>
      <c r="C277" s="62" t="n"/>
      <c r="D277" s="63" t="n"/>
      <c r="E277" s="64" t="n"/>
      <c r="F277" s="62" t="n"/>
      <c r="G277" s="62" t="n"/>
      <c r="H277" s="65">
        <f>IF(COUNTA(B277:G277)=0,"",IF(B277="","⚠ нет даты",IF(C277="","⚠ нет категории",IF(NOT(ISNUMBER(E277)),"⚠ нет суммы",IF(E277&lt;=0,"⚠ сумма ≤ 0",IF(AND(Главная!$B$7&lt;&gt;"",B277&lt;Главная!$B$7),"⚠ дата до договора",IF(B277&gt;TODAY(),"ⓘ будущая дата","✓ ОК")))))))</f>
        <v/>
      </c>
      <c r="I277" s="66">
        <f>IF(COUNTA(B277:G277)=0,"",IF(D277&lt;&gt;"",D277,IF(B277="","",DATE(YEAR(B277),MONTH(B277),1))))</f>
        <v/>
      </c>
    </row>
    <row r="278" ht="22" customHeight="1">
      <c r="A278" s="60">
        <f>IF(B278="","",ROW()-6)</f>
        <v/>
      </c>
      <c r="B278" s="61" t="n"/>
      <c r="C278" s="62" t="n"/>
      <c r="D278" s="63" t="n"/>
      <c r="E278" s="64" t="n"/>
      <c r="F278" s="62" t="n"/>
      <c r="G278" s="62" t="n"/>
      <c r="H278" s="65">
        <f>IF(COUNTA(B278:G278)=0,"",IF(B278="","⚠ нет даты",IF(C278="","⚠ нет категории",IF(NOT(ISNUMBER(E278)),"⚠ нет суммы",IF(E278&lt;=0,"⚠ сумма ≤ 0",IF(AND(Главная!$B$7&lt;&gt;"",B278&lt;Главная!$B$7),"⚠ дата до договора",IF(B278&gt;TODAY(),"ⓘ будущая дата","✓ ОК")))))))</f>
        <v/>
      </c>
      <c r="I278" s="66">
        <f>IF(COUNTA(B278:G278)=0,"",IF(D278&lt;&gt;"",D278,IF(B278="","",DATE(YEAR(B278),MONTH(B278),1))))</f>
        <v/>
      </c>
    </row>
    <row r="279" ht="22" customHeight="1">
      <c r="A279" s="60">
        <f>IF(B279="","",ROW()-6)</f>
        <v/>
      </c>
      <c r="B279" s="61" t="n"/>
      <c r="C279" s="62" t="n"/>
      <c r="D279" s="63" t="n"/>
      <c r="E279" s="64" t="n"/>
      <c r="F279" s="62" t="n"/>
      <c r="G279" s="62" t="n"/>
      <c r="H279" s="65">
        <f>IF(COUNTA(B279:G279)=0,"",IF(B279="","⚠ нет даты",IF(C279="","⚠ нет категории",IF(NOT(ISNUMBER(E279)),"⚠ нет суммы",IF(E279&lt;=0,"⚠ сумма ≤ 0",IF(AND(Главная!$B$7&lt;&gt;"",B279&lt;Главная!$B$7),"⚠ дата до договора",IF(B279&gt;TODAY(),"ⓘ будущая дата","✓ ОК")))))))</f>
        <v/>
      </c>
      <c r="I279" s="66">
        <f>IF(COUNTA(B279:G279)=0,"",IF(D279&lt;&gt;"",D279,IF(B279="","",DATE(YEAR(B279),MONTH(B279),1))))</f>
        <v/>
      </c>
    </row>
    <row r="280" ht="22" customHeight="1">
      <c r="A280" s="60">
        <f>IF(B280="","",ROW()-6)</f>
        <v/>
      </c>
      <c r="B280" s="61" t="n"/>
      <c r="C280" s="62" t="n"/>
      <c r="D280" s="63" t="n"/>
      <c r="E280" s="64" t="n"/>
      <c r="F280" s="62" t="n"/>
      <c r="G280" s="62" t="n"/>
      <c r="H280" s="65">
        <f>IF(COUNTA(B280:G280)=0,"",IF(B280="","⚠ нет даты",IF(C280="","⚠ нет категории",IF(NOT(ISNUMBER(E280)),"⚠ нет суммы",IF(E280&lt;=0,"⚠ сумма ≤ 0",IF(AND(Главная!$B$7&lt;&gt;"",B280&lt;Главная!$B$7),"⚠ дата до договора",IF(B280&gt;TODAY(),"ⓘ будущая дата","✓ ОК")))))))</f>
        <v/>
      </c>
      <c r="I280" s="66">
        <f>IF(COUNTA(B280:G280)=0,"",IF(D280&lt;&gt;"",D280,IF(B280="","",DATE(YEAR(B280),MONTH(B280),1))))</f>
        <v/>
      </c>
    </row>
    <row r="281" ht="22" customHeight="1">
      <c r="A281" s="60">
        <f>IF(B281="","",ROW()-6)</f>
        <v/>
      </c>
      <c r="B281" s="61" t="n"/>
      <c r="C281" s="62" t="n"/>
      <c r="D281" s="63" t="n"/>
      <c r="E281" s="64" t="n"/>
      <c r="F281" s="62" t="n"/>
      <c r="G281" s="62" t="n"/>
      <c r="H281" s="65">
        <f>IF(COUNTA(B281:G281)=0,"",IF(B281="","⚠ нет даты",IF(C281="","⚠ нет категории",IF(NOT(ISNUMBER(E281)),"⚠ нет суммы",IF(E281&lt;=0,"⚠ сумма ≤ 0",IF(AND(Главная!$B$7&lt;&gt;"",B281&lt;Главная!$B$7),"⚠ дата до договора",IF(B281&gt;TODAY(),"ⓘ будущая дата","✓ ОК")))))))</f>
        <v/>
      </c>
      <c r="I281" s="66">
        <f>IF(COUNTA(B281:G281)=0,"",IF(D281&lt;&gt;"",D281,IF(B281="","",DATE(YEAR(B281),MONTH(B281),1))))</f>
        <v/>
      </c>
    </row>
    <row r="282" ht="22" customHeight="1">
      <c r="A282" s="60">
        <f>IF(B282="","",ROW()-6)</f>
        <v/>
      </c>
      <c r="B282" s="61" t="n"/>
      <c r="C282" s="62" t="n"/>
      <c r="D282" s="63" t="n"/>
      <c r="E282" s="64" t="n"/>
      <c r="F282" s="62" t="n"/>
      <c r="G282" s="62" t="n"/>
      <c r="H282" s="65">
        <f>IF(COUNTA(B282:G282)=0,"",IF(B282="","⚠ нет даты",IF(C282="","⚠ нет категории",IF(NOT(ISNUMBER(E282)),"⚠ нет суммы",IF(E282&lt;=0,"⚠ сумма ≤ 0",IF(AND(Главная!$B$7&lt;&gt;"",B282&lt;Главная!$B$7),"⚠ дата до договора",IF(B282&gt;TODAY(),"ⓘ будущая дата","✓ ОК")))))))</f>
        <v/>
      </c>
      <c r="I282" s="66">
        <f>IF(COUNTA(B282:G282)=0,"",IF(D282&lt;&gt;"",D282,IF(B282="","",DATE(YEAR(B282),MONTH(B282),1))))</f>
        <v/>
      </c>
    </row>
    <row r="283" ht="22" customHeight="1">
      <c r="A283" s="60">
        <f>IF(B283="","",ROW()-6)</f>
        <v/>
      </c>
      <c r="B283" s="61" t="n"/>
      <c r="C283" s="62" t="n"/>
      <c r="D283" s="63" t="n"/>
      <c r="E283" s="64" t="n"/>
      <c r="F283" s="62" t="n"/>
      <c r="G283" s="62" t="n"/>
      <c r="H283" s="65">
        <f>IF(COUNTA(B283:G283)=0,"",IF(B283="","⚠ нет даты",IF(C283="","⚠ нет категории",IF(NOT(ISNUMBER(E283)),"⚠ нет суммы",IF(E283&lt;=0,"⚠ сумма ≤ 0",IF(AND(Главная!$B$7&lt;&gt;"",B283&lt;Главная!$B$7),"⚠ дата до договора",IF(B283&gt;TODAY(),"ⓘ будущая дата","✓ ОК")))))))</f>
        <v/>
      </c>
      <c r="I283" s="66">
        <f>IF(COUNTA(B283:G283)=0,"",IF(D283&lt;&gt;"",D283,IF(B283="","",DATE(YEAR(B283),MONTH(B283),1))))</f>
        <v/>
      </c>
    </row>
    <row r="284" ht="22" customHeight="1">
      <c r="A284" s="60">
        <f>IF(B284="","",ROW()-6)</f>
        <v/>
      </c>
      <c r="B284" s="61" t="n"/>
      <c r="C284" s="62" t="n"/>
      <c r="D284" s="63" t="n"/>
      <c r="E284" s="64" t="n"/>
      <c r="F284" s="62" t="n"/>
      <c r="G284" s="62" t="n"/>
      <c r="H284" s="65">
        <f>IF(COUNTA(B284:G284)=0,"",IF(B284="","⚠ нет даты",IF(C284="","⚠ нет категории",IF(NOT(ISNUMBER(E284)),"⚠ нет суммы",IF(E284&lt;=0,"⚠ сумма ≤ 0",IF(AND(Главная!$B$7&lt;&gt;"",B284&lt;Главная!$B$7),"⚠ дата до договора",IF(B284&gt;TODAY(),"ⓘ будущая дата","✓ ОК")))))))</f>
        <v/>
      </c>
      <c r="I284" s="66">
        <f>IF(COUNTA(B284:G284)=0,"",IF(D284&lt;&gt;"",D284,IF(B284="","",DATE(YEAR(B284),MONTH(B284),1))))</f>
        <v/>
      </c>
    </row>
    <row r="285" ht="22" customHeight="1">
      <c r="A285" s="60">
        <f>IF(B285="","",ROW()-6)</f>
        <v/>
      </c>
      <c r="B285" s="61" t="n"/>
      <c r="C285" s="62" t="n"/>
      <c r="D285" s="63" t="n"/>
      <c r="E285" s="64" t="n"/>
      <c r="F285" s="62" t="n"/>
      <c r="G285" s="62" t="n"/>
      <c r="H285" s="65">
        <f>IF(COUNTA(B285:G285)=0,"",IF(B285="","⚠ нет даты",IF(C285="","⚠ нет категории",IF(NOT(ISNUMBER(E285)),"⚠ нет суммы",IF(E285&lt;=0,"⚠ сумма ≤ 0",IF(AND(Главная!$B$7&lt;&gt;"",B285&lt;Главная!$B$7),"⚠ дата до договора",IF(B285&gt;TODAY(),"ⓘ будущая дата","✓ ОК")))))))</f>
        <v/>
      </c>
      <c r="I285" s="66">
        <f>IF(COUNTA(B285:G285)=0,"",IF(D285&lt;&gt;"",D285,IF(B285="","",DATE(YEAR(B285),MONTH(B285),1))))</f>
        <v/>
      </c>
    </row>
    <row r="286" ht="22" customHeight="1">
      <c r="A286" s="60">
        <f>IF(B286="","",ROW()-6)</f>
        <v/>
      </c>
      <c r="B286" s="61" t="n"/>
      <c r="C286" s="62" t="n"/>
      <c r="D286" s="63" t="n"/>
      <c r="E286" s="64" t="n"/>
      <c r="F286" s="62" t="n"/>
      <c r="G286" s="62" t="n"/>
      <c r="H286" s="65">
        <f>IF(COUNTA(B286:G286)=0,"",IF(B286="","⚠ нет даты",IF(C286="","⚠ нет категории",IF(NOT(ISNUMBER(E286)),"⚠ нет суммы",IF(E286&lt;=0,"⚠ сумма ≤ 0",IF(AND(Главная!$B$7&lt;&gt;"",B286&lt;Главная!$B$7),"⚠ дата до договора",IF(B286&gt;TODAY(),"ⓘ будущая дата","✓ ОК")))))))</f>
        <v/>
      </c>
      <c r="I286" s="66">
        <f>IF(COUNTA(B286:G286)=0,"",IF(D286&lt;&gt;"",D286,IF(B286="","",DATE(YEAR(B286),MONTH(B286),1))))</f>
        <v/>
      </c>
    </row>
    <row r="287" ht="22" customHeight="1">
      <c r="A287" s="60">
        <f>IF(B287="","",ROW()-6)</f>
        <v/>
      </c>
      <c r="B287" s="61" t="n"/>
      <c r="C287" s="62" t="n"/>
      <c r="D287" s="63" t="n"/>
      <c r="E287" s="64" t="n"/>
      <c r="F287" s="62" t="n"/>
      <c r="G287" s="62" t="n"/>
      <c r="H287" s="65">
        <f>IF(COUNTA(B287:G287)=0,"",IF(B287="","⚠ нет даты",IF(C287="","⚠ нет категории",IF(NOT(ISNUMBER(E287)),"⚠ нет суммы",IF(E287&lt;=0,"⚠ сумма ≤ 0",IF(AND(Главная!$B$7&lt;&gt;"",B287&lt;Главная!$B$7),"⚠ дата до договора",IF(B287&gt;TODAY(),"ⓘ будущая дата","✓ ОК")))))))</f>
        <v/>
      </c>
      <c r="I287" s="66">
        <f>IF(COUNTA(B287:G287)=0,"",IF(D287&lt;&gt;"",D287,IF(B287="","",DATE(YEAR(B287),MONTH(B287),1))))</f>
        <v/>
      </c>
    </row>
    <row r="288" ht="22" customHeight="1">
      <c r="A288" s="60">
        <f>IF(B288="","",ROW()-6)</f>
        <v/>
      </c>
      <c r="B288" s="61" t="n"/>
      <c r="C288" s="62" t="n"/>
      <c r="D288" s="63" t="n"/>
      <c r="E288" s="64" t="n"/>
      <c r="F288" s="62" t="n"/>
      <c r="G288" s="62" t="n"/>
      <c r="H288" s="65">
        <f>IF(COUNTA(B288:G288)=0,"",IF(B288="","⚠ нет даты",IF(C288="","⚠ нет категории",IF(NOT(ISNUMBER(E288)),"⚠ нет суммы",IF(E288&lt;=0,"⚠ сумма ≤ 0",IF(AND(Главная!$B$7&lt;&gt;"",B288&lt;Главная!$B$7),"⚠ дата до договора",IF(B288&gt;TODAY(),"ⓘ будущая дата","✓ ОК")))))))</f>
        <v/>
      </c>
      <c r="I288" s="66">
        <f>IF(COUNTA(B288:G288)=0,"",IF(D288&lt;&gt;"",D288,IF(B288="","",DATE(YEAR(B288),MONTH(B288),1))))</f>
        <v/>
      </c>
    </row>
    <row r="289" ht="22" customHeight="1">
      <c r="A289" s="60">
        <f>IF(B289="","",ROW()-6)</f>
        <v/>
      </c>
      <c r="B289" s="61" t="n"/>
      <c r="C289" s="62" t="n"/>
      <c r="D289" s="63" t="n"/>
      <c r="E289" s="64" t="n"/>
      <c r="F289" s="62" t="n"/>
      <c r="G289" s="62" t="n"/>
      <c r="H289" s="65">
        <f>IF(COUNTA(B289:G289)=0,"",IF(B289="","⚠ нет даты",IF(C289="","⚠ нет категории",IF(NOT(ISNUMBER(E289)),"⚠ нет суммы",IF(E289&lt;=0,"⚠ сумма ≤ 0",IF(AND(Главная!$B$7&lt;&gt;"",B289&lt;Главная!$B$7),"⚠ дата до договора",IF(B289&gt;TODAY(),"ⓘ будущая дата","✓ ОК")))))))</f>
        <v/>
      </c>
      <c r="I289" s="66">
        <f>IF(COUNTA(B289:G289)=0,"",IF(D289&lt;&gt;"",D289,IF(B289="","",DATE(YEAR(B289),MONTH(B289),1))))</f>
        <v/>
      </c>
    </row>
    <row r="290" ht="22" customHeight="1">
      <c r="A290" s="60">
        <f>IF(B290="","",ROW()-6)</f>
        <v/>
      </c>
      <c r="B290" s="61" t="n"/>
      <c r="C290" s="62" t="n"/>
      <c r="D290" s="63" t="n"/>
      <c r="E290" s="64" t="n"/>
      <c r="F290" s="62" t="n"/>
      <c r="G290" s="62" t="n"/>
      <c r="H290" s="65">
        <f>IF(COUNTA(B290:G290)=0,"",IF(B290="","⚠ нет даты",IF(C290="","⚠ нет категории",IF(NOT(ISNUMBER(E290)),"⚠ нет суммы",IF(E290&lt;=0,"⚠ сумма ≤ 0",IF(AND(Главная!$B$7&lt;&gt;"",B290&lt;Главная!$B$7),"⚠ дата до договора",IF(B290&gt;TODAY(),"ⓘ будущая дата","✓ ОК")))))))</f>
        <v/>
      </c>
      <c r="I290" s="66">
        <f>IF(COUNTA(B290:G290)=0,"",IF(D290&lt;&gt;"",D290,IF(B290="","",DATE(YEAR(B290),MONTH(B290),1))))</f>
        <v/>
      </c>
    </row>
    <row r="291" ht="22" customHeight="1">
      <c r="A291" s="60">
        <f>IF(B291="","",ROW()-6)</f>
        <v/>
      </c>
      <c r="B291" s="61" t="n"/>
      <c r="C291" s="62" t="n"/>
      <c r="D291" s="63" t="n"/>
      <c r="E291" s="64" t="n"/>
      <c r="F291" s="62" t="n"/>
      <c r="G291" s="62" t="n"/>
      <c r="H291" s="65">
        <f>IF(COUNTA(B291:G291)=0,"",IF(B291="","⚠ нет даты",IF(C291="","⚠ нет категории",IF(NOT(ISNUMBER(E291)),"⚠ нет суммы",IF(E291&lt;=0,"⚠ сумма ≤ 0",IF(AND(Главная!$B$7&lt;&gt;"",B291&lt;Главная!$B$7),"⚠ дата до договора",IF(B291&gt;TODAY(),"ⓘ будущая дата","✓ ОК")))))))</f>
        <v/>
      </c>
      <c r="I291" s="66">
        <f>IF(COUNTA(B291:G291)=0,"",IF(D291&lt;&gt;"",D291,IF(B291="","",DATE(YEAR(B291),MONTH(B291),1))))</f>
        <v/>
      </c>
    </row>
    <row r="292" ht="22" customHeight="1">
      <c r="A292" s="60">
        <f>IF(B292="","",ROW()-6)</f>
        <v/>
      </c>
      <c r="B292" s="61" t="n"/>
      <c r="C292" s="62" t="n"/>
      <c r="D292" s="63" t="n"/>
      <c r="E292" s="64" t="n"/>
      <c r="F292" s="62" t="n"/>
      <c r="G292" s="62" t="n"/>
      <c r="H292" s="65">
        <f>IF(COUNTA(B292:G292)=0,"",IF(B292="","⚠ нет даты",IF(C292="","⚠ нет категории",IF(NOT(ISNUMBER(E292)),"⚠ нет суммы",IF(E292&lt;=0,"⚠ сумма ≤ 0",IF(AND(Главная!$B$7&lt;&gt;"",B292&lt;Главная!$B$7),"⚠ дата до договора",IF(B292&gt;TODAY(),"ⓘ будущая дата","✓ ОК")))))))</f>
        <v/>
      </c>
      <c r="I292" s="66">
        <f>IF(COUNTA(B292:G292)=0,"",IF(D292&lt;&gt;"",D292,IF(B292="","",DATE(YEAR(B292),MONTH(B292),1))))</f>
        <v/>
      </c>
    </row>
    <row r="293" ht="22" customHeight="1">
      <c r="A293" s="60">
        <f>IF(B293="","",ROW()-6)</f>
        <v/>
      </c>
      <c r="B293" s="61" t="n"/>
      <c r="C293" s="62" t="n"/>
      <c r="D293" s="63" t="n"/>
      <c r="E293" s="64" t="n"/>
      <c r="F293" s="62" t="n"/>
      <c r="G293" s="62" t="n"/>
      <c r="H293" s="65">
        <f>IF(COUNTA(B293:G293)=0,"",IF(B293="","⚠ нет даты",IF(C293="","⚠ нет категории",IF(NOT(ISNUMBER(E293)),"⚠ нет суммы",IF(E293&lt;=0,"⚠ сумма ≤ 0",IF(AND(Главная!$B$7&lt;&gt;"",B293&lt;Главная!$B$7),"⚠ дата до договора",IF(B293&gt;TODAY(),"ⓘ будущая дата","✓ ОК")))))))</f>
        <v/>
      </c>
      <c r="I293" s="66">
        <f>IF(COUNTA(B293:G293)=0,"",IF(D293&lt;&gt;"",D293,IF(B293="","",DATE(YEAR(B293),MONTH(B293),1))))</f>
        <v/>
      </c>
    </row>
    <row r="294" ht="22" customHeight="1">
      <c r="A294" s="60">
        <f>IF(B294="","",ROW()-6)</f>
        <v/>
      </c>
      <c r="B294" s="61" t="n"/>
      <c r="C294" s="62" t="n"/>
      <c r="D294" s="63" t="n"/>
      <c r="E294" s="64" t="n"/>
      <c r="F294" s="62" t="n"/>
      <c r="G294" s="62" t="n"/>
      <c r="H294" s="65">
        <f>IF(COUNTA(B294:G294)=0,"",IF(B294="","⚠ нет даты",IF(C294="","⚠ нет категории",IF(NOT(ISNUMBER(E294)),"⚠ нет суммы",IF(E294&lt;=0,"⚠ сумма ≤ 0",IF(AND(Главная!$B$7&lt;&gt;"",B294&lt;Главная!$B$7),"⚠ дата до договора",IF(B294&gt;TODAY(),"ⓘ будущая дата","✓ ОК")))))))</f>
        <v/>
      </c>
      <c r="I294" s="66">
        <f>IF(COUNTA(B294:G294)=0,"",IF(D294&lt;&gt;"",D294,IF(B294="","",DATE(YEAR(B294),MONTH(B294),1))))</f>
        <v/>
      </c>
    </row>
    <row r="295" ht="22" customHeight="1">
      <c r="A295" s="60">
        <f>IF(B295="","",ROW()-6)</f>
        <v/>
      </c>
      <c r="B295" s="61" t="n"/>
      <c r="C295" s="62" t="n"/>
      <c r="D295" s="63" t="n"/>
      <c r="E295" s="64" t="n"/>
      <c r="F295" s="62" t="n"/>
      <c r="G295" s="62" t="n"/>
      <c r="H295" s="65">
        <f>IF(COUNTA(B295:G295)=0,"",IF(B295="","⚠ нет даты",IF(C295="","⚠ нет категории",IF(NOT(ISNUMBER(E295)),"⚠ нет суммы",IF(E295&lt;=0,"⚠ сумма ≤ 0",IF(AND(Главная!$B$7&lt;&gt;"",B295&lt;Главная!$B$7),"⚠ дата до договора",IF(B295&gt;TODAY(),"ⓘ будущая дата","✓ ОК")))))))</f>
        <v/>
      </c>
      <c r="I295" s="66">
        <f>IF(COUNTA(B295:G295)=0,"",IF(D295&lt;&gt;"",D295,IF(B295="","",DATE(YEAR(B295),MONTH(B295),1))))</f>
        <v/>
      </c>
    </row>
    <row r="296" ht="22" customHeight="1">
      <c r="A296" s="60">
        <f>IF(B296="","",ROW()-6)</f>
        <v/>
      </c>
      <c r="B296" s="61" t="n"/>
      <c r="C296" s="62" t="n"/>
      <c r="D296" s="63" t="n"/>
      <c r="E296" s="64" t="n"/>
      <c r="F296" s="62" t="n"/>
      <c r="G296" s="62" t="n"/>
      <c r="H296" s="65">
        <f>IF(COUNTA(B296:G296)=0,"",IF(B296="","⚠ нет даты",IF(C296="","⚠ нет категории",IF(NOT(ISNUMBER(E296)),"⚠ нет суммы",IF(E296&lt;=0,"⚠ сумма ≤ 0",IF(AND(Главная!$B$7&lt;&gt;"",B296&lt;Главная!$B$7),"⚠ дата до договора",IF(B296&gt;TODAY(),"ⓘ будущая дата","✓ ОК")))))))</f>
        <v/>
      </c>
      <c r="I296" s="66">
        <f>IF(COUNTA(B296:G296)=0,"",IF(D296&lt;&gt;"",D296,IF(B296="","",DATE(YEAR(B296),MONTH(B296),1))))</f>
        <v/>
      </c>
    </row>
    <row r="297" ht="22" customHeight="1">
      <c r="A297" s="60">
        <f>IF(B297="","",ROW()-6)</f>
        <v/>
      </c>
      <c r="B297" s="61" t="n"/>
      <c r="C297" s="62" t="n"/>
      <c r="D297" s="63" t="n"/>
      <c r="E297" s="64" t="n"/>
      <c r="F297" s="62" t="n"/>
      <c r="G297" s="62" t="n"/>
      <c r="H297" s="65">
        <f>IF(COUNTA(B297:G297)=0,"",IF(B297="","⚠ нет даты",IF(C297="","⚠ нет категории",IF(NOT(ISNUMBER(E297)),"⚠ нет суммы",IF(E297&lt;=0,"⚠ сумма ≤ 0",IF(AND(Главная!$B$7&lt;&gt;"",B297&lt;Главная!$B$7),"⚠ дата до договора",IF(B297&gt;TODAY(),"ⓘ будущая дата","✓ ОК")))))))</f>
        <v/>
      </c>
      <c r="I297" s="66">
        <f>IF(COUNTA(B297:G297)=0,"",IF(D297&lt;&gt;"",D297,IF(B297="","",DATE(YEAR(B297),MONTH(B297),1))))</f>
        <v/>
      </c>
    </row>
    <row r="298" ht="22" customHeight="1">
      <c r="A298" s="60">
        <f>IF(B298="","",ROW()-6)</f>
        <v/>
      </c>
      <c r="B298" s="61" t="n"/>
      <c r="C298" s="62" t="n"/>
      <c r="D298" s="63" t="n"/>
      <c r="E298" s="64" t="n"/>
      <c r="F298" s="62" t="n"/>
      <c r="G298" s="62" t="n"/>
      <c r="H298" s="65">
        <f>IF(COUNTA(B298:G298)=0,"",IF(B298="","⚠ нет даты",IF(C298="","⚠ нет категории",IF(NOT(ISNUMBER(E298)),"⚠ нет суммы",IF(E298&lt;=0,"⚠ сумма ≤ 0",IF(AND(Главная!$B$7&lt;&gt;"",B298&lt;Главная!$B$7),"⚠ дата до договора",IF(B298&gt;TODAY(),"ⓘ будущая дата","✓ ОК")))))))</f>
        <v/>
      </c>
      <c r="I298" s="66">
        <f>IF(COUNTA(B298:G298)=0,"",IF(D298&lt;&gt;"",D298,IF(B298="","",DATE(YEAR(B298),MONTH(B298),1))))</f>
        <v/>
      </c>
    </row>
    <row r="299" ht="22" customHeight="1">
      <c r="A299" s="60">
        <f>IF(B299="","",ROW()-6)</f>
        <v/>
      </c>
      <c r="B299" s="61" t="n"/>
      <c r="C299" s="62" t="n"/>
      <c r="D299" s="63" t="n"/>
      <c r="E299" s="64" t="n"/>
      <c r="F299" s="62" t="n"/>
      <c r="G299" s="62" t="n"/>
      <c r="H299" s="65">
        <f>IF(COUNTA(B299:G299)=0,"",IF(B299="","⚠ нет даты",IF(C299="","⚠ нет категории",IF(NOT(ISNUMBER(E299)),"⚠ нет суммы",IF(E299&lt;=0,"⚠ сумма ≤ 0",IF(AND(Главная!$B$7&lt;&gt;"",B299&lt;Главная!$B$7),"⚠ дата до договора",IF(B299&gt;TODAY(),"ⓘ будущая дата","✓ ОК")))))))</f>
        <v/>
      </c>
      <c r="I299" s="66">
        <f>IF(COUNTA(B299:G299)=0,"",IF(D299&lt;&gt;"",D299,IF(B299="","",DATE(YEAR(B299),MONTH(B299),1))))</f>
        <v/>
      </c>
    </row>
    <row r="300" ht="22" customHeight="1">
      <c r="A300" s="60">
        <f>IF(B300="","",ROW()-6)</f>
        <v/>
      </c>
      <c r="B300" s="61" t="n"/>
      <c r="C300" s="62" t="n"/>
      <c r="D300" s="63" t="n"/>
      <c r="E300" s="64" t="n"/>
      <c r="F300" s="62" t="n"/>
      <c r="G300" s="62" t="n"/>
      <c r="H300" s="65">
        <f>IF(COUNTA(B300:G300)=0,"",IF(B300="","⚠ нет даты",IF(C300="","⚠ нет категории",IF(NOT(ISNUMBER(E300)),"⚠ нет суммы",IF(E300&lt;=0,"⚠ сумма ≤ 0",IF(AND(Главная!$B$7&lt;&gt;"",B300&lt;Главная!$B$7),"⚠ дата до договора",IF(B300&gt;TODAY(),"ⓘ будущая дата","✓ ОК")))))))</f>
        <v/>
      </c>
      <c r="I300" s="66">
        <f>IF(COUNTA(B300:G300)=0,"",IF(D300&lt;&gt;"",D300,IF(B300="","",DATE(YEAR(B300),MONTH(B300),1))))</f>
        <v/>
      </c>
    </row>
    <row r="301" ht="22" customHeight="1">
      <c r="A301" s="60">
        <f>IF(B301="","",ROW()-6)</f>
        <v/>
      </c>
      <c r="B301" s="61" t="n"/>
      <c r="C301" s="62" t="n"/>
      <c r="D301" s="63" t="n"/>
      <c r="E301" s="64" t="n"/>
      <c r="F301" s="62" t="n"/>
      <c r="G301" s="62" t="n"/>
      <c r="H301" s="65">
        <f>IF(COUNTA(B301:G301)=0,"",IF(B301="","⚠ нет даты",IF(C301="","⚠ нет категории",IF(NOT(ISNUMBER(E301)),"⚠ нет суммы",IF(E301&lt;=0,"⚠ сумма ≤ 0",IF(AND(Главная!$B$7&lt;&gt;"",B301&lt;Главная!$B$7),"⚠ дата до договора",IF(B301&gt;TODAY(),"ⓘ будущая дата","✓ ОК")))))))</f>
        <v/>
      </c>
      <c r="I301" s="66">
        <f>IF(COUNTA(B301:G301)=0,"",IF(D301&lt;&gt;"",D301,IF(B301="","",DATE(YEAR(B301),MONTH(B301),1))))</f>
        <v/>
      </c>
    </row>
    <row r="302" ht="22" customHeight="1">
      <c r="A302" s="60">
        <f>IF(B302="","",ROW()-6)</f>
        <v/>
      </c>
      <c r="B302" s="61" t="n"/>
      <c r="C302" s="62" t="n"/>
      <c r="D302" s="63" t="n"/>
      <c r="E302" s="64" t="n"/>
      <c r="F302" s="62" t="n"/>
      <c r="G302" s="62" t="n"/>
      <c r="H302" s="65">
        <f>IF(COUNTA(B302:G302)=0,"",IF(B302="","⚠ нет даты",IF(C302="","⚠ нет категории",IF(NOT(ISNUMBER(E302)),"⚠ нет суммы",IF(E302&lt;=0,"⚠ сумма ≤ 0",IF(AND(Главная!$B$7&lt;&gt;"",B302&lt;Главная!$B$7),"⚠ дата до договора",IF(B302&gt;TODAY(),"ⓘ будущая дата","✓ ОК")))))))</f>
        <v/>
      </c>
      <c r="I302" s="66">
        <f>IF(COUNTA(B302:G302)=0,"",IF(D302&lt;&gt;"",D302,IF(B302="","",DATE(YEAR(B302),MONTH(B302),1))))</f>
        <v/>
      </c>
    </row>
    <row r="303" ht="22" customHeight="1">
      <c r="A303" s="60">
        <f>IF(B303="","",ROW()-6)</f>
        <v/>
      </c>
      <c r="B303" s="61" t="n"/>
      <c r="C303" s="62" t="n"/>
      <c r="D303" s="63" t="n"/>
      <c r="E303" s="64" t="n"/>
      <c r="F303" s="62" t="n"/>
      <c r="G303" s="62" t="n"/>
      <c r="H303" s="65">
        <f>IF(COUNTA(B303:G303)=0,"",IF(B303="","⚠ нет даты",IF(C303="","⚠ нет категории",IF(NOT(ISNUMBER(E303)),"⚠ нет суммы",IF(E303&lt;=0,"⚠ сумма ≤ 0",IF(AND(Главная!$B$7&lt;&gt;"",B303&lt;Главная!$B$7),"⚠ дата до договора",IF(B303&gt;TODAY(),"ⓘ будущая дата","✓ ОК")))))))</f>
        <v/>
      </c>
      <c r="I303" s="66">
        <f>IF(COUNTA(B303:G303)=0,"",IF(D303&lt;&gt;"",D303,IF(B303="","",DATE(YEAR(B303),MONTH(B303),1))))</f>
        <v/>
      </c>
    </row>
    <row r="304" ht="22" customHeight="1">
      <c r="A304" s="60">
        <f>IF(B304="","",ROW()-6)</f>
        <v/>
      </c>
      <c r="B304" s="61" t="n"/>
      <c r="C304" s="62" t="n"/>
      <c r="D304" s="63" t="n"/>
      <c r="E304" s="64" t="n"/>
      <c r="F304" s="62" t="n"/>
      <c r="G304" s="62" t="n"/>
      <c r="H304" s="65">
        <f>IF(COUNTA(B304:G304)=0,"",IF(B304="","⚠ нет даты",IF(C304="","⚠ нет категории",IF(NOT(ISNUMBER(E304)),"⚠ нет суммы",IF(E304&lt;=0,"⚠ сумма ≤ 0",IF(AND(Главная!$B$7&lt;&gt;"",B304&lt;Главная!$B$7),"⚠ дата до договора",IF(B304&gt;TODAY(),"ⓘ будущая дата","✓ ОК")))))))</f>
        <v/>
      </c>
      <c r="I304" s="66">
        <f>IF(COUNTA(B304:G304)=0,"",IF(D304&lt;&gt;"",D304,IF(B304="","",DATE(YEAR(B304),MONTH(B304),1))))</f>
        <v/>
      </c>
    </row>
    <row r="305" ht="22" customHeight="1">
      <c r="A305" s="60">
        <f>IF(B305="","",ROW()-6)</f>
        <v/>
      </c>
      <c r="B305" s="61" t="n"/>
      <c r="C305" s="62" t="n"/>
      <c r="D305" s="63" t="n"/>
      <c r="E305" s="64" t="n"/>
      <c r="F305" s="62" t="n"/>
      <c r="G305" s="62" t="n"/>
      <c r="H305" s="65">
        <f>IF(COUNTA(B305:G305)=0,"",IF(B305="","⚠ нет даты",IF(C305="","⚠ нет категории",IF(NOT(ISNUMBER(E305)),"⚠ нет суммы",IF(E305&lt;=0,"⚠ сумма ≤ 0",IF(AND(Главная!$B$7&lt;&gt;"",B305&lt;Главная!$B$7),"⚠ дата до договора",IF(B305&gt;TODAY(),"ⓘ будущая дата","✓ ОК")))))))</f>
        <v/>
      </c>
      <c r="I305" s="66">
        <f>IF(COUNTA(B305:G305)=0,"",IF(D305&lt;&gt;"",D305,IF(B305="","",DATE(YEAR(B305),MONTH(B305),1))))</f>
        <v/>
      </c>
    </row>
    <row r="306" ht="22" customHeight="1">
      <c r="A306" s="60">
        <f>IF(B306="","",ROW()-6)</f>
        <v/>
      </c>
      <c r="B306" s="61" t="n"/>
      <c r="C306" s="62" t="n"/>
      <c r="D306" s="63" t="n"/>
      <c r="E306" s="64" t="n"/>
      <c r="F306" s="62" t="n"/>
      <c r="G306" s="62" t="n"/>
      <c r="H306" s="65">
        <f>IF(COUNTA(B306:G306)=0,"",IF(B306="","⚠ нет даты",IF(C306="","⚠ нет категории",IF(NOT(ISNUMBER(E306)),"⚠ нет суммы",IF(E306&lt;=0,"⚠ сумма ≤ 0",IF(AND(Главная!$B$7&lt;&gt;"",B306&lt;Главная!$B$7),"⚠ дата до договора",IF(B306&gt;TODAY(),"ⓘ будущая дата","✓ ОК")))))))</f>
        <v/>
      </c>
      <c r="I306" s="66">
        <f>IF(COUNTA(B306:G306)=0,"",IF(D306&lt;&gt;"",D306,IF(B306="","",DATE(YEAR(B306),MONTH(B306),1))))</f>
        <v/>
      </c>
    </row>
    <row r="307" ht="26" customHeight="1">
      <c r="A307" s="67" t="inlineStr">
        <is>
          <t>ИТОГО ПО ЖУРНАЛУ</t>
        </is>
      </c>
      <c r="B307" s="68" t="n"/>
      <c r="C307" s="68" t="n"/>
      <c r="D307" s="68" t="n"/>
      <c r="E307" s="69">
        <f>SUM(E7:E306)</f>
        <v/>
      </c>
      <c r="F307" s="70">
        <f>"записей: "&amp;COUNT(E7:E306)</f>
        <v/>
      </c>
      <c r="G307" s="70" t="n"/>
      <c r="H307" s="70" t="n"/>
      <c r="I307" s="71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</sheetData>
  <autoFilter ref="A6:I306"/>
  <mergeCells count="7">
    <mergeCell ref="A4:B4"/>
    <mergeCell ref="F307:I307"/>
    <mergeCell ref="A2:I2"/>
    <mergeCell ref="A1:I1"/>
    <mergeCell ref="G4:I4"/>
    <mergeCell ref="A307:D307"/>
    <mergeCell ref="C4:D4"/>
  </mergeCells>
  <conditionalFormatting sqref="C7:C306">
    <cfRule type="cellIs" priority="1" operator="equal" dxfId="4">
      <formula>"Аренда"</formula>
    </cfRule>
    <cfRule type="cellIs" priority="2" operator="equal" dxfId="5">
      <formula>"Налог"</formula>
    </cfRule>
    <cfRule type="cellIs" priority="3" operator="equal" dxfId="6">
      <formula>"Коммунальные услуги"</formula>
    </cfRule>
    <cfRule type="cellIs" priority="4" operator="equal" dxfId="7">
      <formula>"Залог"</formula>
    </cfRule>
    <cfRule type="cellIs" priority="5" operator="equal" dxfId="8">
      <formula>"Прочее"</formula>
    </cfRule>
  </conditionalFormatting>
  <conditionalFormatting sqref="H7:H306">
    <cfRule type="expression" priority="6" dxfId="9">
      <formula>LEFT($H7,1)="⚠"</formula>
    </cfRule>
    <cfRule type="expression" priority="7" dxfId="10">
      <formula>LEFT($H7,1)="ⓘ"</formula>
    </cfRule>
    <cfRule type="expression" priority="8" dxfId="11">
      <formula>LEFT($H7,1)="✓"</formula>
    </cfRule>
  </conditionalFormatting>
  <conditionalFormatting sqref="A7:I306">
    <cfRule type="expression" priority="9" dxfId="12" stopIfTrue="0">
      <formula>AND($B7&lt;&gt;"",MOD(ROW(),2)=1)</formula>
    </cfRule>
  </conditionalFormatting>
  <conditionalFormatting sqref="E7:E306">
    <cfRule type="dataBar" priority="10">
      <dataBar showValue="1">
        <cfvo type="num" val="0"/>
        <cfvo type="percentile" val="95"/>
        <color rgb="009BDEDB"/>
      </dataBar>
    </cfRule>
  </conditionalFormatting>
  <dataValidations count="5">
    <dataValidation sqref="C7:C306" showDropDown="0" showInputMessage="1" showErrorMessage="1" allowBlank="1" errorTitle="Категория" error="Обычно выбирают из списка. Оставить введённое значение?" promptTitle="Категория платежа" prompt="Выберите из списка или впишите: Аренда · Налог · Коммунальные услуги · Залог · Прочее" type="list" errorStyle="warning">
      <formula1>"Аренда,Налог,Коммунальные услуги,Залог,Прочее"</formula1>
    </dataValidation>
    <dataValidation sqref="D7:D306" showDropDown="0" showInputMessage="1" showErrorMessage="1" allowBlank="1" errorTitle="Месяц" error="Обычно выбирают месяц из списка. Оставить введённое значение?" promptTitle="Месяц — заполнять не обязательно" prompt="Оставьте пусто — платёж зачтётся за месяц своей даты. Заполняйте только для аванса или погашения долга за другой месяц." type="list" errorStyle="warning">
      <formula1>L_PER</formula1>
    </dataValidation>
    <dataValidation sqref="F7:F306" showDropDown="0" showInputMessage="1" showErrorMessage="1" allowBlank="1" errorTitle="Способ оплаты" error="Обычно выбирают из списка. Оставить введённое значение?" promptTitle="Способ оплаты" prompt="Выберите из списка или впишите свой вариант." type="list" errorStyle="warning">
      <formula1>"Наличные,Перевод СБП,Банковская карта,Расчётный счёт,Почтовый перевод,Другое"</formula1>
    </dataValidation>
    <dataValidation sqref="E7:E306" showDropDown="0" showInputMessage="0" showErrorMessage="1" allowBlank="1" errorTitle="Сумма" error="Ожидается число больше нуля. Оставить как есть?" type="decimal" errorStyle="warning" operator="greaterThan">
      <formula1>0</formula1>
    </dataValidation>
    <dataValidation sqref="B7:B306" showDropDown="0" showInputMessage="1" showErrorMessage="1" allowBlank="1" errorTitle="Дата" error="Ожидается дата в формате ДД.ММ.ГГГГ. Оставить как есть?" promptTitle="Дата платежа" prompt="Введите дату, когда деньги получены, например 05.09.2026." type="date" errorStyle="warning" operator="greaterThan">
      <formula1>DATE(2000,1,1)</formula1>
    </dataValidation>
  </dataValidations>
  <printOptions horizontalCentered="1"/>
  <pageMargins left="0.3" right="0.3" top="0.4" bottom="0.4" header="0.2" footer="0.2"/>
  <pageSetup orientation="portrait" fitToHeight="0" fitToWidth="1"/>
  <headerFooter>
    <oddHeader/>
    <oddFooter>&amp;C&amp;K7A7590&amp;"Arial"&amp;8Журнал арендных платежей  •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E6FBF"/>
    <outlinePr summaryBelow="1" summaryRight="1"/>
    <pageSetUpPr fitToPage="1"/>
  </sheetPr>
  <dimension ref="A1:G44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20"/>
  <cols>
    <col width="17" customWidth="1" min="1" max="1"/>
    <col width="13" customWidth="1" min="2" max="2"/>
    <col width="13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 ht="44" customHeight="1">
      <c r="A1" s="72" t="inlineStr">
        <is>
          <t>ИСТОРИЯ НАЧИСЛЕНИЙ И ОПЛАТ</t>
        </is>
      </c>
      <c r="B1" s="72" t="n"/>
      <c r="C1" s="72" t="n"/>
      <c r="D1" s="72" t="n"/>
      <c r="E1" s="72" t="n"/>
      <c r="F1" s="72" t="n"/>
      <c r="G1" s="72" t="n"/>
    </row>
    <row r="2" ht="24" customHeight="1">
      <c r="A2" s="2" t="inlineStr">
        <is>
          <t>Лист считается автоматически по данным журнала «Регистрация» — ручной ввод не требуется</t>
        </is>
      </c>
      <c r="B2" s="2" t="n"/>
      <c r="C2" s="2" t="n"/>
      <c r="D2" s="2" t="n"/>
      <c r="E2" s="2" t="n"/>
      <c r="F2" s="2" t="n"/>
      <c r="G2" s="2" t="n"/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73">
        <f>"Начислено на сегодня: "&amp;TEXT(SUM($D$6:$D$41),"#,##0")&amp;" ₽"</f>
        <v/>
      </c>
      <c r="B4" s="74" t="n"/>
      <c r="C4" s="73">
        <f>"Оплачено: "&amp;TEXT(SUM($E$6:$E$41),"#,##0")&amp;" ₽"</f>
        <v/>
      </c>
      <c r="D4" s="74" t="n"/>
      <c r="E4" s="73">
        <f>"Текущий долг: "&amp;TEXT(SUMIF($F$6:$F$41,"&gt;0"),"#,##0")&amp;" ₽"</f>
        <v/>
      </c>
      <c r="F4" s="74" t="n"/>
      <c r="G4" s="75">
        <f>"Закрыто: "&amp;COUNTIF($G$6:$G$41,"✔*")&amp;" мес."</f>
        <v/>
      </c>
    </row>
    <row r="5" ht="30" customHeight="1">
      <c r="A5" s="57" t="inlineStr">
        <is>
          <t>Месяц</t>
        </is>
      </c>
      <c r="B5" s="58" t="inlineStr">
        <is>
          <t>Срок</t>
        </is>
      </c>
      <c r="C5" s="58" t="inlineStr">
        <is>
          <t>Дата</t>
        </is>
      </c>
      <c r="D5" s="58" t="inlineStr">
        <is>
          <t>Начислено</t>
        </is>
      </c>
      <c r="E5" s="58" t="inlineStr">
        <is>
          <t>Оплачено</t>
        </is>
      </c>
      <c r="F5" s="58" t="inlineStr">
        <is>
          <t>Долг</t>
        </is>
      </c>
      <c r="G5" s="59" t="inlineStr">
        <is>
          <t>Статус</t>
        </is>
      </c>
    </row>
    <row r="6" ht="22" customHeight="1">
      <c r="A6" s="76">
        <f>IF(OR(Главная!$B$7="",1&gt;IFERROR(Главная!$E$7,0)),"",DATE(YEAR(EDATE(Главная!$B$7,0)),MONTH(EDATE(Главная!$B$7,0)),1))</f>
        <v/>
      </c>
      <c r="B6" s="77">
        <f>IF($A6="","",MIN($A6+MAX(1,IFERROR(Главная!$B$10,1))-1,EOMONTH($A6,0)))</f>
        <v/>
      </c>
      <c r="C6" s="77">
        <f>IF($A6="","",IF(_xlfn.MAXIFS(J_DATE,J_PER,$A6,J_CAT,"Аренда")=0,"",_xlfn.MAXIFS(J_DATE,J_PER,$A6,J_CAT,"Аренда")))</f>
        <v/>
      </c>
      <c r="D6" s="78">
        <f>IF($A6="","",IF(AND(1&lt;=IFERROR(Главная!$E$7,0),$A6&lt;=TODAY()),IFERROR(Главная!$B$9,0),0))</f>
        <v/>
      </c>
      <c r="E6" s="78">
        <f>IF($A6="","",SUMIFS(J_SUM,J_PER,$A6,J_CAT,"Аренда"))</f>
        <v/>
      </c>
      <c r="F6" s="79">
        <f>IF($A6="","",$D6-$E6)</f>
        <v/>
      </c>
      <c r="G6" s="80">
        <f>IF($A6="","",IF($D6=0,IF($E6&gt;0,"✔ Оплачено авансом","⏳ Ожидается"),IF($E6&gt;=$D6,"✔ Оплачено",IF(AND($E6&gt;0,TODAY()&gt;$B6),"◐ Частично, просрочено",IF($E6&gt;0,"◐ Частично",IF(TODAY()&gt;$B6,"⚠ Просрочено","⏳ Ожидается"))))))</f>
        <v/>
      </c>
    </row>
    <row r="7" ht="22" customHeight="1">
      <c r="A7" s="76">
        <f>IF(OR(Главная!$B$7="",2&gt;IFERROR(Главная!$E$7,0)),"",DATE(YEAR(EDATE(Главная!$B$7,1)),MONTH(EDATE(Главная!$B$7,1)),1))</f>
        <v/>
      </c>
      <c r="B7" s="77">
        <f>IF($A7="","",MIN($A7+MAX(1,IFERROR(Главная!$B$10,1))-1,EOMONTH($A7,0)))</f>
        <v/>
      </c>
      <c r="C7" s="77">
        <f>IF($A7="","",IF(_xlfn.MAXIFS(J_DATE,J_PER,$A7,J_CAT,"Аренда")=0,"",_xlfn.MAXIFS(J_DATE,J_PER,$A7,J_CAT,"Аренда")))</f>
        <v/>
      </c>
      <c r="D7" s="78">
        <f>IF($A7="","",IF(AND(2&lt;=IFERROR(Главная!$E$7,0),$A7&lt;=TODAY()),IFERROR(Главная!$B$9,0),0))</f>
        <v/>
      </c>
      <c r="E7" s="78">
        <f>IF($A7="","",SUMIFS(J_SUM,J_PER,$A7,J_CAT,"Аренда"))</f>
        <v/>
      </c>
      <c r="F7" s="79">
        <f>IF($A7="","",$D7-$E7)</f>
        <v/>
      </c>
      <c r="G7" s="80">
        <f>IF($A7="","",IF($D7=0,IF($E7&gt;0,"✔ Оплачено авансом","⏳ Ожидается"),IF($E7&gt;=$D7,"✔ Оплачено",IF(AND($E7&gt;0,TODAY()&gt;$B7),"◐ Частично, просрочено",IF($E7&gt;0,"◐ Частично",IF(TODAY()&gt;$B7,"⚠ Просрочено","⏳ Ожидается"))))))</f>
        <v/>
      </c>
    </row>
    <row r="8" ht="22" customHeight="1">
      <c r="A8" s="76">
        <f>IF(OR(Главная!$B$7="",3&gt;IFERROR(Главная!$E$7,0)),"",DATE(YEAR(EDATE(Главная!$B$7,2)),MONTH(EDATE(Главная!$B$7,2)),1))</f>
        <v/>
      </c>
      <c r="B8" s="77">
        <f>IF($A8="","",MIN($A8+MAX(1,IFERROR(Главная!$B$10,1))-1,EOMONTH($A8,0)))</f>
        <v/>
      </c>
      <c r="C8" s="77">
        <f>IF($A8="","",IF(_xlfn.MAXIFS(J_DATE,J_PER,$A8,J_CAT,"Аренда")=0,"",_xlfn.MAXIFS(J_DATE,J_PER,$A8,J_CAT,"Аренда")))</f>
        <v/>
      </c>
      <c r="D8" s="78">
        <f>IF($A8="","",IF(AND(3&lt;=IFERROR(Главная!$E$7,0),$A8&lt;=TODAY()),IFERROR(Главная!$B$9,0),0))</f>
        <v/>
      </c>
      <c r="E8" s="78">
        <f>IF($A8="","",SUMIFS(J_SUM,J_PER,$A8,J_CAT,"Аренда"))</f>
        <v/>
      </c>
      <c r="F8" s="79">
        <f>IF($A8="","",$D8-$E8)</f>
        <v/>
      </c>
      <c r="G8" s="80">
        <f>IF($A8="","",IF($D8=0,IF($E8&gt;0,"✔ Оплачено авансом","⏳ Ожидается"),IF($E8&gt;=$D8,"✔ Оплачено",IF(AND($E8&gt;0,TODAY()&gt;$B8),"◐ Частично, просрочено",IF($E8&gt;0,"◐ Частично",IF(TODAY()&gt;$B8,"⚠ Просрочено","⏳ Ожидается"))))))</f>
        <v/>
      </c>
    </row>
    <row r="9" ht="22" customHeight="1">
      <c r="A9" s="76">
        <f>IF(OR(Главная!$B$7="",4&gt;IFERROR(Главная!$E$7,0)),"",DATE(YEAR(EDATE(Главная!$B$7,3)),MONTH(EDATE(Главная!$B$7,3)),1))</f>
        <v/>
      </c>
      <c r="B9" s="77">
        <f>IF($A9="","",MIN($A9+MAX(1,IFERROR(Главная!$B$10,1))-1,EOMONTH($A9,0)))</f>
        <v/>
      </c>
      <c r="C9" s="77">
        <f>IF($A9="","",IF(_xlfn.MAXIFS(J_DATE,J_PER,$A9,J_CAT,"Аренда")=0,"",_xlfn.MAXIFS(J_DATE,J_PER,$A9,J_CAT,"Аренда")))</f>
        <v/>
      </c>
      <c r="D9" s="78">
        <f>IF($A9="","",IF(AND(4&lt;=IFERROR(Главная!$E$7,0),$A9&lt;=TODAY()),IFERROR(Главная!$B$9,0),0))</f>
        <v/>
      </c>
      <c r="E9" s="78">
        <f>IF($A9="","",SUMIFS(J_SUM,J_PER,$A9,J_CAT,"Аренда"))</f>
        <v/>
      </c>
      <c r="F9" s="79">
        <f>IF($A9="","",$D9-$E9)</f>
        <v/>
      </c>
      <c r="G9" s="80">
        <f>IF($A9="","",IF($D9=0,IF($E9&gt;0,"✔ Оплачено авансом","⏳ Ожидается"),IF($E9&gt;=$D9,"✔ Оплачено",IF(AND($E9&gt;0,TODAY()&gt;$B9),"◐ Частично, просрочено",IF($E9&gt;0,"◐ Частично",IF(TODAY()&gt;$B9,"⚠ Просрочено","⏳ Ожидается"))))))</f>
        <v/>
      </c>
    </row>
    <row r="10" ht="22" customHeight="1">
      <c r="A10" s="76">
        <f>IF(OR(Главная!$B$7="",5&gt;IFERROR(Главная!$E$7,0)),"",DATE(YEAR(EDATE(Главная!$B$7,4)),MONTH(EDATE(Главная!$B$7,4)),1))</f>
        <v/>
      </c>
      <c r="B10" s="77">
        <f>IF($A10="","",MIN($A10+MAX(1,IFERROR(Главная!$B$10,1))-1,EOMONTH($A10,0)))</f>
        <v/>
      </c>
      <c r="C10" s="77">
        <f>IF($A10="","",IF(_xlfn.MAXIFS(J_DATE,J_PER,$A10,J_CAT,"Аренда")=0,"",_xlfn.MAXIFS(J_DATE,J_PER,$A10,J_CAT,"Аренда")))</f>
        <v/>
      </c>
      <c r="D10" s="78">
        <f>IF($A10="","",IF(AND(5&lt;=IFERROR(Главная!$E$7,0),$A10&lt;=TODAY()),IFERROR(Главная!$B$9,0),0))</f>
        <v/>
      </c>
      <c r="E10" s="78">
        <f>IF($A10="","",SUMIFS(J_SUM,J_PER,$A10,J_CAT,"Аренда"))</f>
        <v/>
      </c>
      <c r="F10" s="79">
        <f>IF($A10="","",$D10-$E10)</f>
        <v/>
      </c>
      <c r="G10" s="80">
        <f>IF($A10="","",IF($D10=0,IF($E10&gt;0,"✔ Оплачено авансом","⏳ Ожидается"),IF($E10&gt;=$D10,"✔ Оплачено",IF(AND($E10&gt;0,TODAY()&gt;$B10),"◐ Частично, просрочено",IF($E10&gt;0,"◐ Частично",IF(TODAY()&gt;$B10,"⚠ Просрочено","⏳ Ожидается"))))))</f>
        <v/>
      </c>
    </row>
    <row r="11" ht="22" customHeight="1">
      <c r="A11" s="76">
        <f>IF(OR(Главная!$B$7="",6&gt;IFERROR(Главная!$E$7,0)),"",DATE(YEAR(EDATE(Главная!$B$7,5)),MONTH(EDATE(Главная!$B$7,5)),1))</f>
        <v/>
      </c>
      <c r="B11" s="77">
        <f>IF($A11="","",MIN($A11+MAX(1,IFERROR(Главная!$B$10,1))-1,EOMONTH($A11,0)))</f>
        <v/>
      </c>
      <c r="C11" s="77">
        <f>IF($A11="","",IF(_xlfn.MAXIFS(J_DATE,J_PER,$A11,J_CAT,"Аренда")=0,"",_xlfn.MAXIFS(J_DATE,J_PER,$A11,J_CAT,"Аренда")))</f>
        <v/>
      </c>
      <c r="D11" s="78">
        <f>IF($A11="","",IF(AND(6&lt;=IFERROR(Главная!$E$7,0),$A11&lt;=TODAY()),IFERROR(Главная!$B$9,0),0))</f>
        <v/>
      </c>
      <c r="E11" s="78">
        <f>IF($A11="","",SUMIFS(J_SUM,J_PER,$A11,J_CAT,"Аренда"))</f>
        <v/>
      </c>
      <c r="F11" s="79">
        <f>IF($A11="","",$D11-$E11)</f>
        <v/>
      </c>
      <c r="G11" s="80">
        <f>IF($A11="","",IF($D11=0,IF($E11&gt;0,"✔ Оплачено авансом","⏳ Ожидается"),IF($E11&gt;=$D11,"✔ Оплачено",IF(AND($E11&gt;0,TODAY()&gt;$B11),"◐ Частично, просрочено",IF($E11&gt;0,"◐ Частично",IF(TODAY()&gt;$B11,"⚠ Просрочено","⏳ Ожидается"))))))</f>
        <v/>
      </c>
    </row>
    <row r="12" ht="22" customHeight="1">
      <c r="A12" s="76">
        <f>IF(OR(Главная!$B$7="",7&gt;IFERROR(Главная!$E$7,0)),"",DATE(YEAR(EDATE(Главная!$B$7,6)),MONTH(EDATE(Главная!$B$7,6)),1))</f>
        <v/>
      </c>
      <c r="B12" s="77">
        <f>IF($A12="","",MIN($A12+MAX(1,IFERROR(Главная!$B$10,1))-1,EOMONTH($A12,0)))</f>
        <v/>
      </c>
      <c r="C12" s="77">
        <f>IF($A12="","",IF(_xlfn.MAXIFS(J_DATE,J_PER,$A12,J_CAT,"Аренда")=0,"",_xlfn.MAXIFS(J_DATE,J_PER,$A12,J_CAT,"Аренда")))</f>
        <v/>
      </c>
      <c r="D12" s="78">
        <f>IF($A12="","",IF(AND(7&lt;=IFERROR(Главная!$E$7,0),$A12&lt;=TODAY()),IFERROR(Главная!$B$9,0),0))</f>
        <v/>
      </c>
      <c r="E12" s="78">
        <f>IF($A12="","",SUMIFS(J_SUM,J_PER,$A12,J_CAT,"Аренда"))</f>
        <v/>
      </c>
      <c r="F12" s="79">
        <f>IF($A12="","",$D12-$E12)</f>
        <v/>
      </c>
      <c r="G12" s="80">
        <f>IF($A12="","",IF($D12=0,IF($E12&gt;0,"✔ Оплачено авансом","⏳ Ожидается"),IF($E12&gt;=$D12,"✔ Оплачено",IF(AND($E12&gt;0,TODAY()&gt;$B12),"◐ Частично, просрочено",IF($E12&gt;0,"◐ Частично",IF(TODAY()&gt;$B12,"⚠ Просрочено","⏳ Ожидается"))))))</f>
        <v/>
      </c>
    </row>
    <row r="13" ht="22" customHeight="1">
      <c r="A13" s="76">
        <f>IF(OR(Главная!$B$7="",8&gt;IFERROR(Главная!$E$7,0)),"",DATE(YEAR(EDATE(Главная!$B$7,7)),MONTH(EDATE(Главная!$B$7,7)),1))</f>
        <v/>
      </c>
      <c r="B13" s="77">
        <f>IF($A13="","",MIN($A13+MAX(1,IFERROR(Главная!$B$10,1))-1,EOMONTH($A13,0)))</f>
        <v/>
      </c>
      <c r="C13" s="77">
        <f>IF($A13="","",IF(_xlfn.MAXIFS(J_DATE,J_PER,$A13,J_CAT,"Аренда")=0,"",_xlfn.MAXIFS(J_DATE,J_PER,$A13,J_CAT,"Аренда")))</f>
        <v/>
      </c>
      <c r="D13" s="78">
        <f>IF($A13="","",IF(AND(8&lt;=IFERROR(Главная!$E$7,0),$A13&lt;=TODAY()),IFERROR(Главная!$B$9,0),0))</f>
        <v/>
      </c>
      <c r="E13" s="78">
        <f>IF($A13="","",SUMIFS(J_SUM,J_PER,$A13,J_CAT,"Аренда"))</f>
        <v/>
      </c>
      <c r="F13" s="79">
        <f>IF($A13="","",$D13-$E13)</f>
        <v/>
      </c>
      <c r="G13" s="80">
        <f>IF($A13="","",IF($D13=0,IF($E13&gt;0,"✔ Оплачено авансом","⏳ Ожидается"),IF($E13&gt;=$D13,"✔ Оплачено",IF(AND($E13&gt;0,TODAY()&gt;$B13),"◐ Частично, просрочено",IF($E13&gt;0,"◐ Частично",IF(TODAY()&gt;$B13,"⚠ Просрочено","⏳ Ожидается"))))))</f>
        <v/>
      </c>
    </row>
    <row r="14" ht="22" customHeight="1">
      <c r="A14" s="76">
        <f>IF(OR(Главная!$B$7="",9&gt;IFERROR(Главная!$E$7,0)),"",DATE(YEAR(EDATE(Главная!$B$7,8)),MONTH(EDATE(Главная!$B$7,8)),1))</f>
        <v/>
      </c>
      <c r="B14" s="77">
        <f>IF($A14="","",MIN($A14+MAX(1,IFERROR(Главная!$B$10,1))-1,EOMONTH($A14,0)))</f>
        <v/>
      </c>
      <c r="C14" s="77">
        <f>IF($A14="","",IF(_xlfn.MAXIFS(J_DATE,J_PER,$A14,J_CAT,"Аренда")=0,"",_xlfn.MAXIFS(J_DATE,J_PER,$A14,J_CAT,"Аренда")))</f>
        <v/>
      </c>
      <c r="D14" s="78">
        <f>IF($A14="","",IF(AND(9&lt;=IFERROR(Главная!$E$7,0),$A14&lt;=TODAY()),IFERROR(Главная!$B$9,0),0))</f>
        <v/>
      </c>
      <c r="E14" s="78">
        <f>IF($A14="","",SUMIFS(J_SUM,J_PER,$A14,J_CAT,"Аренда"))</f>
        <v/>
      </c>
      <c r="F14" s="79">
        <f>IF($A14="","",$D14-$E14)</f>
        <v/>
      </c>
      <c r="G14" s="80">
        <f>IF($A14="","",IF($D14=0,IF($E14&gt;0,"✔ Оплачено авансом","⏳ Ожидается"),IF($E14&gt;=$D14,"✔ Оплачено",IF(AND($E14&gt;0,TODAY()&gt;$B14),"◐ Частично, просрочено",IF($E14&gt;0,"◐ Частично",IF(TODAY()&gt;$B14,"⚠ Просрочено","⏳ Ожидается"))))))</f>
        <v/>
      </c>
    </row>
    <row r="15" ht="22" customHeight="1">
      <c r="A15" s="76">
        <f>IF(OR(Главная!$B$7="",10&gt;IFERROR(Главная!$E$7,0)),"",DATE(YEAR(EDATE(Главная!$B$7,9)),MONTH(EDATE(Главная!$B$7,9)),1))</f>
        <v/>
      </c>
      <c r="B15" s="77">
        <f>IF($A15="","",MIN($A15+MAX(1,IFERROR(Главная!$B$10,1))-1,EOMONTH($A15,0)))</f>
        <v/>
      </c>
      <c r="C15" s="77">
        <f>IF($A15="","",IF(_xlfn.MAXIFS(J_DATE,J_PER,$A15,J_CAT,"Аренда")=0,"",_xlfn.MAXIFS(J_DATE,J_PER,$A15,J_CAT,"Аренда")))</f>
        <v/>
      </c>
      <c r="D15" s="78">
        <f>IF($A15="","",IF(AND(10&lt;=IFERROR(Главная!$E$7,0),$A15&lt;=TODAY()),IFERROR(Главная!$B$9,0),0))</f>
        <v/>
      </c>
      <c r="E15" s="78">
        <f>IF($A15="","",SUMIFS(J_SUM,J_PER,$A15,J_CAT,"Аренда"))</f>
        <v/>
      </c>
      <c r="F15" s="79">
        <f>IF($A15="","",$D15-$E15)</f>
        <v/>
      </c>
      <c r="G15" s="80">
        <f>IF($A15="","",IF($D15=0,IF($E15&gt;0,"✔ Оплачено авансом","⏳ Ожидается"),IF($E15&gt;=$D15,"✔ Оплачено",IF(AND($E15&gt;0,TODAY()&gt;$B15),"◐ Частично, просрочено",IF($E15&gt;0,"◐ Частично",IF(TODAY()&gt;$B15,"⚠ Просрочено","⏳ Ожидается"))))))</f>
        <v/>
      </c>
    </row>
    <row r="16" ht="22" customHeight="1">
      <c r="A16" s="76">
        <f>IF(OR(Главная!$B$7="",11&gt;IFERROR(Главная!$E$7,0)),"",DATE(YEAR(EDATE(Главная!$B$7,10)),MONTH(EDATE(Главная!$B$7,10)),1))</f>
        <v/>
      </c>
      <c r="B16" s="77">
        <f>IF($A16="","",MIN($A16+MAX(1,IFERROR(Главная!$B$10,1))-1,EOMONTH($A16,0)))</f>
        <v/>
      </c>
      <c r="C16" s="77">
        <f>IF($A16="","",IF(_xlfn.MAXIFS(J_DATE,J_PER,$A16,J_CAT,"Аренда")=0,"",_xlfn.MAXIFS(J_DATE,J_PER,$A16,J_CAT,"Аренда")))</f>
        <v/>
      </c>
      <c r="D16" s="78">
        <f>IF($A16="","",IF(AND(11&lt;=IFERROR(Главная!$E$7,0),$A16&lt;=TODAY()),IFERROR(Главная!$B$9,0),0))</f>
        <v/>
      </c>
      <c r="E16" s="78">
        <f>IF($A16="","",SUMIFS(J_SUM,J_PER,$A16,J_CAT,"Аренда"))</f>
        <v/>
      </c>
      <c r="F16" s="79">
        <f>IF($A16="","",$D16-$E16)</f>
        <v/>
      </c>
      <c r="G16" s="80">
        <f>IF($A16="","",IF($D16=0,IF($E16&gt;0,"✔ Оплачено авансом","⏳ Ожидается"),IF($E16&gt;=$D16,"✔ Оплачено",IF(AND($E16&gt;0,TODAY()&gt;$B16),"◐ Частично, просрочено",IF($E16&gt;0,"◐ Частично",IF(TODAY()&gt;$B16,"⚠ Просрочено","⏳ Ожидается"))))))</f>
        <v/>
      </c>
    </row>
    <row r="17" ht="22" customHeight="1">
      <c r="A17" s="76">
        <f>IF(OR(Главная!$B$7="",12&gt;IFERROR(Главная!$E$7,0)),"",DATE(YEAR(EDATE(Главная!$B$7,11)),MONTH(EDATE(Главная!$B$7,11)),1))</f>
        <v/>
      </c>
      <c r="B17" s="77">
        <f>IF($A17="","",MIN($A17+MAX(1,IFERROR(Главная!$B$10,1))-1,EOMONTH($A17,0)))</f>
        <v/>
      </c>
      <c r="C17" s="77">
        <f>IF($A17="","",IF(_xlfn.MAXIFS(J_DATE,J_PER,$A17,J_CAT,"Аренда")=0,"",_xlfn.MAXIFS(J_DATE,J_PER,$A17,J_CAT,"Аренда")))</f>
        <v/>
      </c>
      <c r="D17" s="78">
        <f>IF($A17="","",IF(AND(12&lt;=IFERROR(Главная!$E$7,0),$A17&lt;=TODAY()),IFERROR(Главная!$B$9,0),0))</f>
        <v/>
      </c>
      <c r="E17" s="78">
        <f>IF($A17="","",SUMIFS(J_SUM,J_PER,$A17,J_CAT,"Аренда"))</f>
        <v/>
      </c>
      <c r="F17" s="79">
        <f>IF($A17="","",$D17-$E17)</f>
        <v/>
      </c>
      <c r="G17" s="80">
        <f>IF($A17="","",IF($D17=0,IF($E17&gt;0,"✔ Оплачено авансом","⏳ Ожидается"),IF($E17&gt;=$D17,"✔ Оплачено",IF(AND($E17&gt;0,TODAY()&gt;$B17),"◐ Частично, просрочено",IF($E17&gt;0,"◐ Частично",IF(TODAY()&gt;$B17,"⚠ Просрочено","⏳ Ожидается"))))))</f>
        <v/>
      </c>
    </row>
    <row r="18" ht="22" customHeight="1">
      <c r="A18" s="76">
        <f>IF(OR(Главная!$B$7="",13&gt;IFERROR(Главная!$E$7,0)),"",DATE(YEAR(EDATE(Главная!$B$7,12)),MONTH(EDATE(Главная!$B$7,12)),1))</f>
        <v/>
      </c>
      <c r="B18" s="77">
        <f>IF($A18="","",MIN($A18+MAX(1,IFERROR(Главная!$B$10,1))-1,EOMONTH($A18,0)))</f>
        <v/>
      </c>
      <c r="C18" s="77">
        <f>IF($A18="","",IF(_xlfn.MAXIFS(J_DATE,J_PER,$A18,J_CAT,"Аренда")=0,"",_xlfn.MAXIFS(J_DATE,J_PER,$A18,J_CAT,"Аренда")))</f>
        <v/>
      </c>
      <c r="D18" s="78">
        <f>IF($A18="","",IF(AND(13&lt;=IFERROR(Главная!$E$7,0),$A18&lt;=TODAY()),IFERROR(Главная!$B$9,0),0))</f>
        <v/>
      </c>
      <c r="E18" s="78">
        <f>IF($A18="","",SUMIFS(J_SUM,J_PER,$A18,J_CAT,"Аренда"))</f>
        <v/>
      </c>
      <c r="F18" s="79">
        <f>IF($A18="","",$D18-$E18)</f>
        <v/>
      </c>
      <c r="G18" s="80">
        <f>IF($A18="","",IF($D18=0,IF($E18&gt;0,"✔ Оплачено авансом","⏳ Ожидается"),IF($E18&gt;=$D18,"✔ Оплачено",IF(AND($E18&gt;0,TODAY()&gt;$B18),"◐ Частично, просрочено",IF($E18&gt;0,"◐ Частично",IF(TODAY()&gt;$B18,"⚠ Просрочено","⏳ Ожидается"))))))</f>
        <v/>
      </c>
    </row>
    <row r="19" ht="22" customHeight="1">
      <c r="A19" s="76">
        <f>IF(OR(Главная!$B$7="",14&gt;IFERROR(Главная!$E$7,0)),"",DATE(YEAR(EDATE(Главная!$B$7,13)),MONTH(EDATE(Главная!$B$7,13)),1))</f>
        <v/>
      </c>
      <c r="B19" s="77">
        <f>IF($A19="","",MIN($A19+MAX(1,IFERROR(Главная!$B$10,1))-1,EOMONTH($A19,0)))</f>
        <v/>
      </c>
      <c r="C19" s="77">
        <f>IF($A19="","",IF(_xlfn.MAXIFS(J_DATE,J_PER,$A19,J_CAT,"Аренда")=0,"",_xlfn.MAXIFS(J_DATE,J_PER,$A19,J_CAT,"Аренда")))</f>
        <v/>
      </c>
      <c r="D19" s="78">
        <f>IF($A19="","",IF(AND(14&lt;=IFERROR(Главная!$E$7,0),$A19&lt;=TODAY()),IFERROR(Главная!$B$9,0),0))</f>
        <v/>
      </c>
      <c r="E19" s="78">
        <f>IF($A19="","",SUMIFS(J_SUM,J_PER,$A19,J_CAT,"Аренда"))</f>
        <v/>
      </c>
      <c r="F19" s="79">
        <f>IF($A19="","",$D19-$E19)</f>
        <v/>
      </c>
      <c r="G19" s="80">
        <f>IF($A19="","",IF($D19=0,IF($E19&gt;0,"✔ Оплачено авансом","⏳ Ожидается"),IF($E19&gt;=$D19,"✔ Оплачено",IF(AND($E19&gt;0,TODAY()&gt;$B19),"◐ Частично, просрочено",IF($E19&gt;0,"◐ Частично",IF(TODAY()&gt;$B19,"⚠ Просрочено","⏳ Ожидается"))))))</f>
        <v/>
      </c>
    </row>
    <row r="20" ht="22" customHeight="1">
      <c r="A20" s="76">
        <f>IF(OR(Главная!$B$7="",15&gt;IFERROR(Главная!$E$7,0)),"",DATE(YEAR(EDATE(Главная!$B$7,14)),MONTH(EDATE(Главная!$B$7,14)),1))</f>
        <v/>
      </c>
      <c r="B20" s="77">
        <f>IF($A20="","",MIN($A20+MAX(1,IFERROR(Главная!$B$10,1))-1,EOMONTH($A20,0)))</f>
        <v/>
      </c>
      <c r="C20" s="77">
        <f>IF($A20="","",IF(_xlfn.MAXIFS(J_DATE,J_PER,$A20,J_CAT,"Аренда")=0,"",_xlfn.MAXIFS(J_DATE,J_PER,$A20,J_CAT,"Аренда")))</f>
        <v/>
      </c>
      <c r="D20" s="78">
        <f>IF($A20="","",IF(AND(15&lt;=IFERROR(Главная!$E$7,0),$A20&lt;=TODAY()),IFERROR(Главная!$B$9,0),0))</f>
        <v/>
      </c>
      <c r="E20" s="78">
        <f>IF($A20="","",SUMIFS(J_SUM,J_PER,$A20,J_CAT,"Аренда"))</f>
        <v/>
      </c>
      <c r="F20" s="79">
        <f>IF($A20="","",$D20-$E20)</f>
        <v/>
      </c>
      <c r="G20" s="80">
        <f>IF($A20="","",IF($D20=0,IF($E20&gt;0,"✔ Оплачено авансом","⏳ Ожидается"),IF($E20&gt;=$D20,"✔ Оплачено",IF(AND($E20&gt;0,TODAY()&gt;$B20),"◐ Частично, просрочено",IF($E20&gt;0,"◐ Частично",IF(TODAY()&gt;$B20,"⚠ Просрочено","⏳ Ожидается"))))))</f>
        <v/>
      </c>
    </row>
    <row r="21" ht="22" customHeight="1">
      <c r="A21" s="76">
        <f>IF(OR(Главная!$B$7="",16&gt;IFERROR(Главная!$E$7,0)),"",DATE(YEAR(EDATE(Главная!$B$7,15)),MONTH(EDATE(Главная!$B$7,15)),1))</f>
        <v/>
      </c>
      <c r="B21" s="77">
        <f>IF($A21="","",MIN($A21+MAX(1,IFERROR(Главная!$B$10,1))-1,EOMONTH($A21,0)))</f>
        <v/>
      </c>
      <c r="C21" s="77">
        <f>IF($A21="","",IF(_xlfn.MAXIFS(J_DATE,J_PER,$A21,J_CAT,"Аренда")=0,"",_xlfn.MAXIFS(J_DATE,J_PER,$A21,J_CAT,"Аренда")))</f>
        <v/>
      </c>
      <c r="D21" s="78">
        <f>IF($A21="","",IF(AND(16&lt;=IFERROR(Главная!$E$7,0),$A21&lt;=TODAY()),IFERROR(Главная!$B$9,0),0))</f>
        <v/>
      </c>
      <c r="E21" s="78">
        <f>IF($A21="","",SUMIFS(J_SUM,J_PER,$A21,J_CAT,"Аренда"))</f>
        <v/>
      </c>
      <c r="F21" s="79">
        <f>IF($A21="","",$D21-$E21)</f>
        <v/>
      </c>
      <c r="G21" s="80">
        <f>IF($A21="","",IF($D21=0,IF($E21&gt;0,"✔ Оплачено авансом","⏳ Ожидается"),IF($E21&gt;=$D21,"✔ Оплачено",IF(AND($E21&gt;0,TODAY()&gt;$B21),"◐ Частично, просрочено",IF($E21&gt;0,"◐ Частично",IF(TODAY()&gt;$B21,"⚠ Просрочено","⏳ Ожидается"))))))</f>
        <v/>
      </c>
    </row>
    <row r="22" ht="22" customHeight="1">
      <c r="A22" s="76">
        <f>IF(OR(Главная!$B$7="",17&gt;IFERROR(Главная!$E$7,0)),"",DATE(YEAR(EDATE(Главная!$B$7,16)),MONTH(EDATE(Главная!$B$7,16)),1))</f>
        <v/>
      </c>
      <c r="B22" s="77">
        <f>IF($A22="","",MIN($A22+MAX(1,IFERROR(Главная!$B$10,1))-1,EOMONTH($A22,0)))</f>
        <v/>
      </c>
      <c r="C22" s="77">
        <f>IF($A22="","",IF(_xlfn.MAXIFS(J_DATE,J_PER,$A22,J_CAT,"Аренда")=0,"",_xlfn.MAXIFS(J_DATE,J_PER,$A22,J_CAT,"Аренда")))</f>
        <v/>
      </c>
      <c r="D22" s="78">
        <f>IF($A22="","",IF(AND(17&lt;=IFERROR(Главная!$E$7,0),$A22&lt;=TODAY()),IFERROR(Главная!$B$9,0),0))</f>
        <v/>
      </c>
      <c r="E22" s="78">
        <f>IF($A22="","",SUMIFS(J_SUM,J_PER,$A22,J_CAT,"Аренда"))</f>
        <v/>
      </c>
      <c r="F22" s="79">
        <f>IF($A22="","",$D22-$E22)</f>
        <v/>
      </c>
      <c r="G22" s="80">
        <f>IF($A22="","",IF($D22=0,IF($E22&gt;0,"✔ Оплачено авансом","⏳ Ожидается"),IF($E22&gt;=$D22,"✔ Оплачено",IF(AND($E22&gt;0,TODAY()&gt;$B22),"◐ Частично, просрочено",IF($E22&gt;0,"◐ Частично",IF(TODAY()&gt;$B22,"⚠ Просрочено","⏳ Ожидается"))))))</f>
        <v/>
      </c>
    </row>
    <row r="23" ht="22" customHeight="1">
      <c r="A23" s="76">
        <f>IF(OR(Главная!$B$7="",18&gt;IFERROR(Главная!$E$7,0)),"",DATE(YEAR(EDATE(Главная!$B$7,17)),MONTH(EDATE(Главная!$B$7,17)),1))</f>
        <v/>
      </c>
      <c r="B23" s="77">
        <f>IF($A23="","",MIN($A23+MAX(1,IFERROR(Главная!$B$10,1))-1,EOMONTH($A23,0)))</f>
        <v/>
      </c>
      <c r="C23" s="77">
        <f>IF($A23="","",IF(_xlfn.MAXIFS(J_DATE,J_PER,$A23,J_CAT,"Аренда")=0,"",_xlfn.MAXIFS(J_DATE,J_PER,$A23,J_CAT,"Аренда")))</f>
        <v/>
      </c>
      <c r="D23" s="78">
        <f>IF($A23="","",IF(AND(18&lt;=IFERROR(Главная!$E$7,0),$A23&lt;=TODAY()),IFERROR(Главная!$B$9,0),0))</f>
        <v/>
      </c>
      <c r="E23" s="78">
        <f>IF($A23="","",SUMIFS(J_SUM,J_PER,$A23,J_CAT,"Аренда"))</f>
        <v/>
      </c>
      <c r="F23" s="79">
        <f>IF($A23="","",$D23-$E23)</f>
        <v/>
      </c>
      <c r="G23" s="80">
        <f>IF($A23="","",IF($D23=0,IF($E23&gt;0,"✔ Оплачено авансом","⏳ Ожидается"),IF($E23&gt;=$D23,"✔ Оплачено",IF(AND($E23&gt;0,TODAY()&gt;$B23),"◐ Частично, просрочено",IF($E23&gt;0,"◐ Частично",IF(TODAY()&gt;$B23,"⚠ Просрочено","⏳ Ожидается"))))))</f>
        <v/>
      </c>
    </row>
    <row r="24" ht="22" customHeight="1">
      <c r="A24" s="76">
        <f>IF(OR(Главная!$B$7="",19&gt;IFERROR(Главная!$E$7,0)),"",DATE(YEAR(EDATE(Главная!$B$7,18)),MONTH(EDATE(Главная!$B$7,18)),1))</f>
        <v/>
      </c>
      <c r="B24" s="77">
        <f>IF($A24="","",MIN($A24+MAX(1,IFERROR(Главная!$B$10,1))-1,EOMONTH($A24,0)))</f>
        <v/>
      </c>
      <c r="C24" s="77">
        <f>IF($A24="","",IF(_xlfn.MAXIFS(J_DATE,J_PER,$A24,J_CAT,"Аренда")=0,"",_xlfn.MAXIFS(J_DATE,J_PER,$A24,J_CAT,"Аренда")))</f>
        <v/>
      </c>
      <c r="D24" s="78">
        <f>IF($A24="","",IF(AND(19&lt;=IFERROR(Главная!$E$7,0),$A24&lt;=TODAY()),IFERROR(Главная!$B$9,0),0))</f>
        <v/>
      </c>
      <c r="E24" s="78">
        <f>IF($A24="","",SUMIFS(J_SUM,J_PER,$A24,J_CAT,"Аренда"))</f>
        <v/>
      </c>
      <c r="F24" s="79">
        <f>IF($A24="","",$D24-$E24)</f>
        <v/>
      </c>
      <c r="G24" s="80">
        <f>IF($A24="","",IF($D24=0,IF($E24&gt;0,"✔ Оплачено авансом","⏳ Ожидается"),IF($E24&gt;=$D24,"✔ Оплачено",IF(AND($E24&gt;0,TODAY()&gt;$B24),"◐ Частично, просрочено",IF($E24&gt;0,"◐ Частично",IF(TODAY()&gt;$B24,"⚠ Просрочено","⏳ Ожидается"))))))</f>
        <v/>
      </c>
    </row>
    <row r="25" ht="22" customHeight="1">
      <c r="A25" s="76">
        <f>IF(OR(Главная!$B$7="",20&gt;IFERROR(Главная!$E$7,0)),"",DATE(YEAR(EDATE(Главная!$B$7,19)),MONTH(EDATE(Главная!$B$7,19)),1))</f>
        <v/>
      </c>
      <c r="B25" s="77">
        <f>IF($A25="","",MIN($A25+MAX(1,IFERROR(Главная!$B$10,1))-1,EOMONTH($A25,0)))</f>
        <v/>
      </c>
      <c r="C25" s="77">
        <f>IF($A25="","",IF(_xlfn.MAXIFS(J_DATE,J_PER,$A25,J_CAT,"Аренда")=0,"",_xlfn.MAXIFS(J_DATE,J_PER,$A25,J_CAT,"Аренда")))</f>
        <v/>
      </c>
      <c r="D25" s="78">
        <f>IF($A25="","",IF(AND(20&lt;=IFERROR(Главная!$E$7,0),$A25&lt;=TODAY()),IFERROR(Главная!$B$9,0),0))</f>
        <v/>
      </c>
      <c r="E25" s="78">
        <f>IF($A25="","",SUMIFS(J_SUM,J_PER,$A25,J_CAT,"Аренда"))</f>
        <v/>
      </c>
      <c r="F25" s="79">
        <f>IF($A25="","",$D25-$E25)</f>
        <v/>
      </c>
      <c r="G25" s="80">
        <f>IF($A25="","",IF($D25=0,IF($E25&gt;0,"✔ Оплачено авансом","⏳ Ожидается"),IF($E25&gt;=$D25,"✔ Оплачено",IF(AND($E25&gt;0,TODAY()&gt;$B25),"◐ Частично, просрочено",IF($E25&gt;0,"◐ Частично",IF(TODAY()&gt;$B25,"⚠ Просрочено","⏳ Ожидается"))))))</f>
        <v/>
      </c>
    </row>
    <row r="26" ht="22" customHeight="1">
      <c r="A26" s="76">
        <f>IF(OR(Главная!$B$7="",21&gt;IFERROR(Главная!$E$7,0)),"",DATE(YEAR(EDATE(Главная!$B$7,20)),MONTH(EDATE(Главная!$B$7,20)),1))</f>
        <v/>
      </c>
      <c r="B26" s="77">
        <f>IF($A26="","",MIN($A26+MAX(1,IFERROR(Главная!$B$10,1))-1,EOMONTH($A26,0)))</f>
        <v/>
      </c>
      <c r="C26" s="77">
        <f>IF($A26="","",IF(_xlfn.MAXIFS(J_DATE,J_PER,$A26,J_CAT,"Аренда")=0,"",_xlfn.MAXIFS(J_DATE,J_PER,$A26,J_CAT,"Аренда")))</f>
        <v/>
      </c>
      <c r="D26" s="78">
        <f>IF($A26="","",IF(AND(21&lt;=IFERROR(Главная!$E$7,0),$A26&lt;=TODAY()),IFERROR(Главная!$B$9,0),0))</f>
        <v/>
      </c>
      <c r="E26" s="78">
        <f>IF($A26="","",SUMIFS(J_SUM,J_PER,$A26,J_CAT,"Аренда"))</f>
        <v/>
      </c>
      <c r="F26" s="79">
        <f>IF($A26="","",$D26-$E26)</f>
        <v/>
      </c>
      <c r="G26" s="80">
        <f>IF($A26="","",IF($D26=0,IF($E26&gt;0,"✔ Оплачено авансом","⏳ Ожидается"),IF($E26&gt;=$D26,"✔ Оплачено",IF(AND($E26&gt;0,TODAY()&gt;$B26),"◐ Частично, просрочено",IF($E26&gt;0,"◐ Частично",IF(TODAY()&gt;$B26,"⚠ Просрочено","⏳ Ожидается"))))))</f>
        <v/>
      </c>
    </row>
    <row r="27" ht="22" customHeight="1">
      <c r="A27" s="76">
        <f>IF(OR(Главная!$B$7="",22&gt;IFERROR(Главная!$E$7,0)),"",DATE(YEAR(EDATE(Главная!$B$7,21)),MONTH(EDATE(Главная!$B$7,21)),1))</f>
        <v/>
      </c>
      <c r="B27" s="77">
        <f>IF($A27="","",MIN($A27+MAX(1,IFERROR(Главная!$B$10,1))-1,EOMONTH($A27,0)))</f>
        <v/>
      </c>
      <c r="C27" s="77">
        <f>IF($A27="","",IF(_xlfn.MAXIFS(J_DATE,J_PER,$A27,J_CAT,"Аренда")=0,"",_xlfn.MAXIFS(J_DATE,J_PER,$A27,J_CAT,"Аренда")))</f>
        <v/>
      </c>
      <c r="D27" s="78">
        <f>IF($A27="","",IF(AND(22&lt;=IFERROR(Главная!$E$7,0),$A27&lt;=TODAY()),IFERROR(Главная!$B$9,0),0))</f>
        <v/>
      </c>
      <c r="E27" s="78">
        <f>IF($A27="","",SUMIFS(J_SUM,J_PER,$A27,J_CAT,"Аренда"))</f>
        <v/>
      </c>
      <c r="F27" s="79">
        <f>IF($A27="","",$D27-$E27)</f>
        <v/>
      </c>
      <c r="G27" s="80">
        <f>IF($A27="","",IF($D27=0,IF($E27&gt;0,"✔ Оплачено авансом","⏳ Ожидается"),IF($E27&gt;=$D27,"✔ Оплачено",IF(AND($E27&gt;0,TODAY()&gt;$B27),"◐ Частично, просрочено",IF($E27&gt;0,"◐ Частично",IF(TODAY()&gt;$B27,"⚠ Просрочено","⏳ Ожидается"))))))</f>
        <v/>
      </c>
    </row>
    <row r="28" ht="22" customHeight="1">
      <c r="A28" s="76">
        <f>IF(OR(Главная!$B$7="",23&gt;IFERROR(Главная!$E$7,0)),"",DATE(YEAR(EDATE(Главная!$B$7,22)),MONTH(EDATE(Главная!$B$7,22)),1))</f>
        <v/>
      </c>
      <c r="B28" s="77">
        <f>IF($A28="","",MIN($A28+MAX(1,IFERROR(Главная!$B$10,1))-1,EOMONTH($A28,0)))</f>
        <v/>
      </c>
      <c r="C28" s="77">
        <f>IF($A28="","",IF(_xlfn.MAXIFS(J_DATE,J_PER,$A28,J_CAT,"Аренда")=0,"",_xlfn.MAXIFS(J_DATE,J_PER,$A28,J_CAT,"Аренда")))</f>
        <v/>
      </c>
      <c r="D28" s="78">
        <f>IF($A28="","",IF(AND(23&lt;=IFERROR(Главная!$E$7,0),$A28&lt;=TODAY()),IFERROR(Главная!$B$9,0),0))</f>
        <v/>
      </c>
      <c r="E28" s="78">
        <f>IF($A28="","",SUMIFS(J_SUM,J_PER,$A28,J_CAT,"Аренда"))</f>
        <v/>
      </c>
      <c r="F28" s="79">
        <f>IF($A28="","",$D28-$E28)</f>
        <v/>
      </c>
      <c r="G28" s="80">
        <f>IF($A28="","",IF($D28=0,IF($E28&gt;0,"✔ Оплачено авансом","⏳ Ожидается"),IF($E28&gt;=$D28,"✔ Оплачено",IF(AND($E28&gt;0,TODAY()&gt;$B28),"◐ Частично, просрочено",IF($E28&gt;0,"◐ Частично",IF(TODAY()&gt;$B28,"⚠ Просрочено","⏳ Ожидается"))))))</f>
        <v/>
      </c>
    </row>
    <row r="29" ht="22" customHeight="1">
      <c r="A29" s="76">
        <f>IF(OR(Главная!$B$7="",24&gt;IFERROR(Главная!$E$7,0)),"",DATE(YEAR(EDATE(Главная!$B$7,23)),MONTH(EDATE(Главная!$B$7,23)),1))</f>
        <v/>
      </c>
      <c r="B29" s="77">
        <f>IF($A29="","",MIN($A29+MAX(1,IFERROR(Главная!$B$10,1))-1,EOMONTH($A29,0)))</f>
        <v/>
      </c>
      <c r="C29" s="77">
        <f>IF($A29="","",IF(_xlfn.MAXIFS(J_DATE,J_PER,$A29,J_CAT,"Аренда")=0,"",_xlfn.MAXIFS(J_DATE,J_PER,$A29,J_CAT,"Аренда")))</f>
        <v/>
      </c>
      <c r="D29" s="78">
        <f>IF($A29="","",IF(AND(24&lt;=IFERROR(Главная!$E$7,0),$A29&lt;=TODAY()),IFERROR(Главная!$B$9,0),0))</f>
        <v/>
      </c>
      <c r="E29" s="78">
        <f>IF($A29="","",SUMIFS(J_SUM,J_PER,$A29,J_CAT,"Аренда"))</f>
        <v/>
      </c>
      <c r="F29" s="79">
        <f>IF($A29="","",$D29-$E29)</f>
        <v/>
      </c>
      <c r="G29" s="80">
        <f>IF($A29="","",IF($D29=0,IF($E29&gt;0,"✔ Оплачено авансом","⏳ Ожидается"),IF($E29&gt;=$D29,"✔ Оплачено",IF(AND($E29&gt;0,TODAY()&gt;$B29),"◐ Частично, просрочено",IF($E29&gt;0,"◐ Частично",IF(TODAY()&gt;$B29,"⚠ Просрочено","⏳ Ожидается"))))))</f>
        <v/>
      </c>
    </row>
    <row r="30" ht="22" customHeight="1">
      <c r="A30" s="76">
        <f>IF(OR(Главная!$B$7="",25&gt;IFERROR(Главная!$E$7,0)),"",DATE(YEAR(EDATE(Главная!$B$7,24)),MONTH(EDATE(Главная!$B$7,24)),1))</f>
        <v/>
      </c>
      <c r="B30" s="77">
        <f>IF($A30="","",MIN($A30+MAX(1,IFERROR(Главная!$B$10,1))-1,EOMONTH($A30,0)))</f>
        <v/>
      </c>
      <c r="C30" s="77">
        <f>IF($A30="","",IF(_xlfn.MAXIFS(J_DATE,J_PER,$A30,J_CAT,"Аренда")=0,"",_xlfn.MAXIFS(J_DATE,J_PER,$A30,J_CAT,"Аренда")))</f>
        <v/>
      </c>
      <c r="D30" s="78">
        <f>IF($A30="","",IF(AND(25&lt;=IFERROR(Главная!$E$7,0),$A30&lt;=TODAY()),IFERROR(Главная!$B$9,0),0))</f>
        <v/>
      </c>
      <c r="E30" s="78">
        <f>IF($A30="","",SUMIFS(J_SUM,J_PER,$A30,J_CAT,"Аренда"))</f>
        <v/>
      </c>
      <c r="F30" s="79">
        <f>IF($A30="","",$D30-$E30)</f>
        <v/>
      </c>
      <c r="G30" s="80">
        <f>IF($A30="","",IF($D30=0,IF($E30&gt;0,"✔ Оплачено авансом","⏳ Ожидается"),IF($E30&gt;=$D30,"✔ Оплачено",IF(AND($E30&gt;0,TODAY()&gt;$B30),"◐ Частично, просрочено",IF($E30&gt;0,"◐ Частично",IF(TODAY()&gt;$B30,"⚠ Просрочено","⏳ Ожидается"))))))</f>
        <v/>
      </c>
    </row>
    <row r="31" ht="22" customHeight="1">
      <c r="A31" s="76">
        <f>IF(OR(Главная!$B$7="",26&gt;IFERROR(Главная!$E$7,0)),"",DATE(YEAR(EDATE(Главная!$B$7,25)),MONTH(EDATE(Главная!$B$7,25)),1))</f>
        <v/>
      </c>
      <c r="B31" s="77">
        <f>IF($A31="","",MIN($A31+MAX(1,IFERROR(Главная!$B$10,1))-1,EOMONTH($A31,0)))</f>
        <v/>
      </c>
      <c r="C31" s="77">
        <f>IF($A31="","",IF(_xlfn.MAXIFS(J_DATE,J_PER,$A31,J_CAT,"Аренда")=0,"",_xlfn.MAXIFS(J_DATE,J_PER,$A31,J_CAT,"Аренда")))</f>
        <v/>
      </c>
      <c r="D31" s="78">
        <f>IF($A31="","",IF(AND(26&lt;=IFERROR(Главная!$E$7,0),$A31&lt;=TODAY()),IFERROR(Главная!$B$9,0),0))</f>
        <v/>
      </c>
      <c r="E31" s="78">
        <f>IF($A31="","",SUMIFS(J_SUM,J_PER,$A31,J_CAT,"Аренда"))</f>
        <v/>
      </c>
      <c r="F31" s="79">
        <f>IF($A31="","",$D31-$E31)</f>
        <v/>
      </c>
      <c r="G31" s="80">
        <f>IF($A31="","",IF($D31=0,IF($E31&gt;0,"✔ Оплачено авансом","⏳ Ожидается"),IF($E31&gt;=$D31,"✔ Оплачено",IF(AND($E31&gt;0,TODAY()&gt;$B31),"◐ Частично, просрочено",IF($E31&gt;0,"◐ Частично",IF(TODAY()&gt;$B31,"⚠ Просрочено","⏳ Ожидается"))))))</f>
        <v/>
      </c>
    </row>
    <row r="32" ht="22" customHeight="1">
      <c r="A32" s="76">
        <f>IF(OR(Главная!$B$7="",27&gt;IFERROR(Главная!$E$7,0)),"",DATE(YEAR(EDATE(Главная!$B$7,26)),MONTH(EDATE(Главная!$B$7,26)),1))</f>
        <v/>
      </c>
      <c r="B32" s="77">
        <f>IF($A32="","",MIN($A32+MAX(1,IFERROR(Главная!$B$10,1))-1,EOMONTH($A32,0)))</f>
        <v/>
      </c>
      <c r="C32" s="77">
        <f>IF($A32="","",IF(_xlfn.MAXIFS(J_DATE,J_PER,$A32,J_CAT,"Аренда")=0,"",_xlfn.MAXIFS(J_DATE,J_PER,$A32,J_CAT,"Аренда")))</f>
        <v/>
      </c>
      <c r="D32" s="78">
        <f>IF($A32="","",IF(AND(27&lt;=IFERROR(Главная!$E$7,0),$A32&lt;=TODAY()),IFERROR(Главная!$B$9,0),0))</f>
        <v/>
      </c>
      <c r="E32" s="78">
        <f>IF($A32="","",SUMIFS(J_SUM,J_PER,$A32,J_CAT,"Аренда"))</f>
        <v/>
      </c>
      <c r="F32" s="79">
        <f>IF($A32="","",$D32-$E32)</f>
        <v/>
      </c>
      <c r="G32" s="80">
        <f>IF($A32="","",IF($D32=0,IF($E32&gt;0,"✔ Оплачено авансом","⏳ Ожидается"),IF($E32&gt;=$D32,"✔ Оплачено",IF(AND($E32&gt;0,TODAY()&gt;$B32),"◐ Частично, просрочено",IF($E32&gt;0,"◐ Частично",IF(TODAY()&gt;$B32,"⚠ Просрочено","⏳ Ожидается"))))))</f>
        <v/>
      </c>
    </row>
    <row r="33" ht="22" customHeight="1">
      <c r="A33" s="76">
        <f>IF(OR(Главная!$B$7="",28&gt;IFERROR(Главная!$E$7,0)),"",DATE(YEAR(EDATE(Главная!$B$7,27)),MONTH(EDATE(Главная!$B$7,27)),1))</f>
        <v/>
      </c>
      <c r="B33" s="77">
        <f>IF($A33="","",MIN($A33+MAX(1,IFERROR(Главная!$B$10,1))-1,EOMONTH($A33,0)))</f>
        <v/>
      </c>
      <c r="C33" s="77">
        <f>IF($A33="","",IF(_xlfn.MAXIFS(J_DATE,J_PER,$A33,J_CAT,"Аренда")=0,"",_xlfn.MAXIFS(J_DATE,J_PER,$A33,J_CAT,"Аренда")))</f>
        <v/>
      </c>
      <c r="D33" s="78">
        <f>IF($A33="","",IF(AND(28&lt;=IFERROR(Главная!$E$7,0),$A33&lt;=TODAY()),IFERROR(Главная!$B$9,0),0))</f>
        <v/>
      </c>
      <c r="E33" s="78">
        <f>IF($A33="","",SUMIFS(J_SUM,J_PER,$A33,J_CAT,"Аренда"))</f>
        <v/>
      </c>
      <c r="F33" s="79">
        <f>IF($A33="","",$D33-$E33)</f>
        <v/>
      </c>
      <c r="G33" s="80">
        <f>IF($A33="","",IF($D33=0,IF($E33&gt;0,"✔ Оплачено авансом","⏳ Ожидается"),IF($E33&gt;=$D33,"✔ Оплачено",IF(AND($E33&gt;0,TODAY()&gt;$B33),"◐ Частично, просрочено",IF($E33&gt;0,"◐ Частично",IF(TODAY()&gt;$B33,"⚠ Просрочено","⏳ Ожидается"))))))</f>
        <v/>
      </c>
    </row>
    <row r="34" ht="22" customHeight="1">
      <c r="A34" s="76">
        <f>IF(OR(Главная!$B$7="",29&gt;IFERROR(Главная!$E$7,0)),"",DATE(YEAR(EDATE(Главная!$B$7,28)),MONTH(EDATE(Главная!$B$7,28)),1))</f>
        <v/>
      </c>
      <c r="B34" s="77">
        <f>IF($A34="","",MIN($A34+MAX(1,IFERROR(Главная!$B$10,1))-1,EOMONTH($A34,0)))</f>
        <v/>
      </c>
      <c r="C34" s="77">
        <f>IF($A34="","",IF(_xlfn.MAXIFS(J_DATE,J_PER,$A34,J_CAT,"Аренда")=0,"",_xlfn.MAXIFS(J_DATE,J_PER,$A34,J_CAT,"Аренда")))</f>
        <v/>
      </c>
      <c r="D34" s="78">
        <f>IF($A34="","",IF(AND(29&lt;=IFERROR(Главная!$E$7,0),$A34&lt;=TODAY()),IFERROR(Главная!$B$9,0),0))</f>
        <v/>
      </c>
      <c r="E34" s="78">
        <f>IF($A34="","",SUMIFS(J_SUM,J_PER,$A34,J_CAT,"Аренда"))</f>
        <v/>
      </c>
      <c r="F34" s="79">
        <f>IF($A34="","",$D34-$E34)</f>
        <v/>
      </c>
      <c r="G34" s="80">
        <f>IF($A34="","",IF($D34=0,IF($E34&gt;0,"✔ Оплачено авансом","⏳ Ожидается"),IF($E34&gt;=$D34,"✔ Оплачено",IF(AND($E34&gt;0,TODAY()&gt;$B34),"◐ Частично, просрочено",IF($E34&gt;0,"◐ Частично",IF(TODAY()&gt;$B34,"⚠ Просрочено","⏳ Ожидается"))))))</f>
        <v/>
      </c>
    </row>
    <row r="35" ht="22" customHeight="1">
      <c r="A35" s="76">
        <f>IF(OR(Главная!$B$7="",30&gt;IFERROR(Главная!$E$7,0)),"",DATE(YEAR(EDATE(Главная!$B$7,29)),MONTH(EDATE(Главная!$B$7,29)),1))</f>
        <v/>
      </c>
      <c r="B35" s="77">
        <f>IF($A35="","",MIN($A35+MAX(1,IFERROR(Главная!$B$10,1))-1,EOMONTH($A35,0)))</f>
        <v/>
      </c>
      <c r="C35" s="77">
        <f>IF($A35="","",IF(_xlfn.MAXIFS(J_DATE,J_PER,$A35,J_CAT,"Аренда")=0,"",_xlfn.MAXIFS(J_DATE,J_PER,$A35,J_CAT,"Аренда")))</f>
        <v/>
      </c>
      <c r="D35" s="78">
        <f>IF($A35="","",IF(AND(30&lt;=IFERROR(Главная!$E$7,0),$A35&lt;=TODAY()),IFERROR(Главная!$B$9,0),0))</f>
        <v/>
      </c>
      <c r="E35" s="78">
        <f>IF($A35="","",SUMIFS(J_SUM,J_PER,$A35,J_CAT,"Аренда"))</f>
        <v/>
      </c>
      <c r="F35" s="79">
        <f>IF($A35="","",$D35-$E35)</f>
        <v/>
      </c>
      <c r="G35" s="80">
        <f>IF($A35="","",IF($D35=0,IF($E35&gt;0,"✔ Оплачено авансом","⏳ Ожидается"),IF($E35&gt;=$D35,"✔ Оплачено",IF(AND($E35&gt;0,TODAY()&gt;$B35),"◐ Частично, просрочено",IF($E35&gt;0,"◐ Частично",IF(TODAY()&gt;$B35,"⚠ Просрочено","⏳ Ожидается"))))))</f>
        <v/>
      </c>
    </row>
    <row r="36" ht="22" customHeight="1">
      <c r="A36" s="76">
        <f>IF(OR(Главная!$B$7="",31&gt;IFERROR(Главная!$E$7,0)),"",DATE(YEAR(EDATE(Главная!$B$7,30)),MONTH(EDATE(Главная!$B$7,30)),1))</f>
        <v/>
      </c>
      <c r="B36" s="77">
        <f>IF($A36="","",MIN($A36+MAX(1,IFERROR(Главная!$B$10,1))-1,EOMONTH($A36,0)))</f>
        <v/>
      </c>
      <c r="C36" s="77">
        <f>IF($A36="","",IF(_xlfn.MAXIFS(J_DATE,J_PER,$A36,J_CAT,"Аренда")=0,"",_xlfn.MAXIFS(J_DATE,J_PER,$A36,J_CAT,"Аренда")))</f>
        <v/>
      </c>
      <c r="D36" s="78">
        <f>IF($A36="","",IF(AND(31&lt;=IFERROR(Главная!$E$7,0),$A36&lt;=TODAY()),IFERROR(Главная!$B$9,0),0))</f>
        <v/>
      </c>
      <c r="E36" s="78">
        <f>IF($A36="","",SUMIFS(J_SUM,J_PER,$A36,J_CAT,"Аренда"))</f>
        <v/>
      </c>
      <c r="F36" s="79">
        <f>IF($A36="","",$D36-$E36)</f>
        <v/>
      </c>
      <c r="G36" s="80">
        <f>IF($A36="","",IF($D36=0,IF($E36&gt;0,"✔ Оплачено авансом","⏳ Ожидается"),IF($E36&gt;=$D36,"✔ Оплачено",IF(AND($E36&gt;0,TODAY()&gt;$B36),"◐ Частично, просрочено",IF($E36&gt;0,"◐ Частично",IF(TODAY()&gt;$B36,"⚠ Просрочено","⏳ Ожидается"))))))</f>
        <v/>
      </c>
    </row>
    <row r="37" ht="22" customHeight="1">
      <c r="A37" s="76">
        <f>IF(OR(Главная!$B$7="",32&gt;IFERROR(Главная!$E$7,0)),"",DATE(YEAR(EDATE(Главная!$B$7,31)),MONTH(EDATE(Главная!$B$7,31)),1))</f>
        <v/>
      </c>
      <c r="B37" s="77">
        <f>IF($A37="","",MIN($A37+MAX(1,IFERROR(Главная!$B$10,1))-1,EOMONTH($A37,0)))</f>
        <v/>
      </c>
      <c r="C37" s="77">
        <f>IF($A37="","",IF(_xlfn.MAXIFS(J_DATE,J_PER,$A37,J_CAT,"Аренда")=0,"",_xlfn.MAXIFS(J_DATE,J_PER,$A37,J_CAT,"Аренда")))</f>
        <v/>
      </c>
      <c r="D37" s="78">
        <f>IF($A37="","",IF(AND(32&lt;=IFERROR(Главная!$E$7,0),$A37&lt;=TODAY()),IFERROR(Главная!$B$9,0),0))</f>
        <v/>
      </c>
      <c r="E37" s="78">
        <f>IF($A37="","",SUMIFS(J_SUM,J_PER,$A37,J_CAT,"Аренда"))</f>
        <v/>
      </c>
      <c r="F37" s="79">
        <f>IF($A37="","",$D37-$E37)</f>
        <v/>
      </c>
      <c r="G37" s="80">
        <f>IF($A37="","",IF($D37=0,IF($E37&gt;0,"✔ Оплачено авансом","⏳ Ожидается"),IF($E37&gt;=$D37,"✔ Оплачено",IF(AND($E37&gt;0,TODAY()&gt;$B37),"◐ Частично, просрочено",IF($E37&gt;0,"◐ Частично",IF(TODAY()&gt;$B37,"⚠ Просрочено","⏳ Ожидается"))))))</f>
        <v/>
      </c>
    </row>
    <row r="38" ht="22" customHeight="1">
      <c r="A38" s="76">
        <f>IF(OR(Главная!$B$7="",33&gt;IFERROR(Главная!$E$7,0)),"",DATE(YEAR(EDATE(Главная!$B$7,32)),MONTH(EDATE(Главная!$B$7,32)),1))</f>
        <v/>
      </c>
      <c r="B38" s="77">
        <f>IF($A38="","",MIN($A38+MAX(1,IFERROR(Главная!$B$10,1))-1,EOMONTH($A38,0)))</f>
        <v/>
      </c>
      <c r="C38" s="77">
        <f>IF($A38="","",IF(_xlfn.MAXIFS(J_DATE,J_PER,$A38,J_CAT,"Аренда")=0,"",_xlfn.MAXIFS(J_DATE,J_PER,$A38,J_CAT,"Аренда")))</f>
        <v/>
      </c>
      <c r="D38" s="78">
        <f>IF($A38="","",IF(AND(33&lt;=IFERROR(Главная!$E$7,0),$A38&lt;=TODAY()),IFERROR(Главная!$B$9,0),0))</f>
        <v/>
      </c>
      <c r="E38" s="78">
        <f>IF($A38="","",SUMIFS(J_SUM,J_PER,$A38,J_CAT,"Аренда"))</f>
        <v/>
      </c>
      <c r="F38" s="79">
        <f>IF($A38="","",$D38-$E38)</f>
        <v/>
      </c>
      <c r="G38" s="80">
        <f>IF($A38="","",IF($D38=0,IF($E38&gt;0,"✔ Оплачено авансом","⏳ Ожидается"),IF($E38&gt;=$D38,"✔ Оплачено",IF(AND($E38&gt;0,TODAY()&gt;$B38),"◐ Частично, просрочено",IF($E38&gt;0,"◐ Частично",IF(TODAY()&gt;$B38,"⚠ Просрочено","⏳ Ожидается"))))))</f>
        <v/>
      </c>
    </row>
    <row r="39" ht="22" customHeight="1">
      <c r="A39" s="76">
        <f>IF(OR(Главная!$B$7="",34&gt;IFERROR(Главная!$E$7,0)),"",DATE(YEAR(EDATE(Главная!$B$7,33)),MONTH(EDATE(Главная!$B$7,33)),1))</f>
        <v/>
      </c>
      <c r="B39" s="77">
        <f>IF($A39="","",MIN($A39+MAX(1,IFERROR(Главная!$B$10,1))-1,EOMONTH($A39,0)))</f>
        <v/>
      </c>
      <c r="C39" s="77">
        <f>IF($A39="","",IF(_xlfn.MAXIFS(J_DATE,J_PER,$A39,J_CAT,"Аренда")=0,"",_xlfn.MAXIFS(J_DATE,J_PER,$A39,J_CAT,"Аренда")))</f>
        <v/>
      </c>
      <c r="D39" s="78">
        <f>IF($A39="","",IF(AND(34&lt;=IFERROR(Главная!$E$7,0),$A39&lt;=TODAY()),IFERROR(Главная!$B$9,0),0))</f>
        <v/>
      </c>
      <c r="E39" s="78">
        <f>IF($A39="","",SUMIFS(J_SUM,J_PER,$A39,J_CAT,"Аренда"))</f>
        <v/>
      </c>
      <c r="F39" s="79">
        <f>IF($A39="","",$D39-$E39)</f>
        <v/>
      </c>
      <c r="G39" s="80">
        <f>IF($A39="","",IF($D39=0,IF($E39&gt;0,"✔ Оплачено авансом","⏳ Ожидается"),IF($E39&gt;=$D39,"✔ Оплачено",IF(AND($E39&gt;0,TODAY()&gt;$B39),"◐ Частично, просрочено",IF($E39&gt;0,"◐ Частично",IF(TODAY()&gt;$B39,"⚠ Просрочено","⏳ Ожидается"))))))</f>
        <v/>
      </c>
    </row>
    <row r="40" ht="22" customHeight="1">
      <c r="A40" s="76">
        <f>IF(OR(Главная!$B$7="",35&gt;IFERROR(Главная!$E$7,0)),"",DATE(YEAR(EDATE(Главная!$B$7,34)),MONTH(EDATE(Главная!$B$7,34)),1))</f>
        <v/>
      </c>
      <c r="B40" s="77">
        <f>IF($A40="","",MIN($A40+MAX(1,IFERROR(Главная!$B$10,1))-1,EOMONTH($A40,0)))</f>
        <v/>
      </c>
      <c r="C40" s="77">
        <f>IF($A40="","",IF(_xlfn.MAXIFS(J_DATE,J_PER,$A40,J_CAT,"Аренда")=0,"",_xlfn.MAXIFS(J_DATE,J_PER,$A40,J_CAT,"Аренда")))</f>
        <v/>
      </c>
      <c r="D40" s="78">
        <f>IF($A40="","",IF(AND(35&lt;=IFERROR(Главная!$E$7,0),$A40&lt;=TODAY()),IFERROR(Главная!$B$9,0),0))</f>
        <v/>
      </c>
      <c r="E40" s="78">
        <f>IF($A40="","",SUMIFS(J_SUM,J_PER,$A40,J_CAT,"Аренда"))</f>
        <v/>
      </c>
      <c r="F40" s="79">
        <f>IF($A40="","",$D40-$E40)</f>
        <v/>
      </c>
      <c r="G40" s="80">
        <f>IF($A40="","",IF($D40=0,IF($E40&gt;0,"✔ Оплачено авансом","⏳ Ожидается"),IF($E40&gt;=$D40,"✔ Оплачено",IF(AND($E40&gt;0,TODAY()&gt;$B40),"◐ Частично, просрочено",IF($E40&gt;0,"◐ Частично",IF(TODAY()&gt;$B40,"⚠ Просрочено","⏳ Ожидается"))))))</f>
        <v/>
      </c>
    </row>
    <row r="41" ht="22" customHeight="1">
      <c r="A41" s="76">
        <f>IF(OR(Главная!$B$7="",36&gt;IFERROR(Главная!$E$7,0)),"",DATE(YEAR(EDATE(Главная!$B$7,35)),MONTH(EDATE(Главная!$B$7,35)),1))</f>
        <v/>
      </c>
      <c r="B41" s="77">
        <f>IF($A41="","",MIN($A41+MAX(1,IFERROR(Главная!$B$10,1))-1,EOMONTH($A41,0)))</f>
        <v/>
      </c>
      <c r="C41" s="77">
        <f>IF($A41="","",IF(_xlfn.MAXIFS(J_DATE,J_PER,$A41,J_CAT,"Аренда")=0,"",_xlfn.MAXIFS(J_DATE,J_PER,$A41,J_CAT,"Аренда")))</f>
        <v/>
      </c>
      <c r="D41" s="78">
        <f>IF($A41="","",IF(AND(36&lt;=IFERROR(Главная!$E$7,0),$A41&lt;=TODAY()),IFERROR(Главная!$B$9,0),0))</f>
        <v/>
      </c>
      <c r="E41" s="78">
        <f>IF($A41="","",SUMIFS(J_SUM,J_PER,$A41,J_CAT,"Аренда"))</f>
        <v/>
      </c>
      <c r="F41" s="79">
        <f>IF($A41="","",$D41-$E41)</f>
        <v/>
      </c>
      <c r="G41" s="80">
        <f>IF($A41="","",IF($D41=0,IF($E41&gt;0,"✔ Оплачено авансом","⏳ Ожидается"),IF($E41&gt;=$D41,"✔ Оплачено",IF(AND($E41&gt;0,TODAY()&gt;$B41),"◐ Частично, просрочено",IF($E41&gt;0,"◐ Частично",IF(TODAY()&gt;$B41,"⚠ Просрочено","⏳ Ожидается"))))))</f>
        <v/>
      </c>
    </row>
    <row r="42" ht="26" customHeight="1">
      <c r="A42" s="67" t="inlineStr">
        <is>
          <t>ИТОГО</t>
        </is>
      </c>
      <c r="B42" s="68" t="n"/>
      <c r="C42" s="68" t="n"/>
      <c r="D42" s="69">
        <f>SUM(D6:D41)</f>
        <v/>
      </c>
      <c r="E42" s="69">
        <f>SUM(E6:E41)</f>
        <v/>
      </c>
      <c r="F42" s="69">
        <f>SUM(F6:F41)</f>
        <v/>
      </c>
      <c r="G42" s="81">
        <f>IF(SUM(F6:F41)&gt;0,"есть долг","всё оплачено")</f>
        <v/>
      </c>
    </row>
    <row r="43" ht="28" customHeight="1">
      <c r="A43" s="82">
        <f>"Просроченный долг (сумма положительных остатков): "&amp;TEXT(SUMIF(F6:F41,"&gt;0"),"#,##0")&amp;" ₽"&amp;IF(SUMIF(F6:F41,"&lt;0")&lt;0,"   •   оплачено авансом: "&amp;TEXT(-SUMIF(F6:F41,"&lt;0"),"#,##0")&amp;" ₽","")&amp;"   •   в столбце «Долг» показан итог с учётом авансов"</f>
        <v/>
      </c>
      <c r="B43" s="82" t="n"/>
      <c r="C43" s="82" t="n"/>
      <c r="D43" s="82" t="n"/>
      <c r="E43" s="82" t="n"/>
      <c r="F43" s="82" t="n"/>
      <c r="G43" s="82" t="n"/>
    </row>
    <row r="44">
      <c r="A44" s="3" t="n"/>
      <c r="B44" s="3" t="n"/>
      <c r="C44" s="3" t="n"/>
      <c r="D44" s="3" t="n"/>
      <c r="E44" s="3" t="n"/>
      <c r="F44" s="3" t="n"/>
      <c r="G44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7">
    <mergeCell ref="A4:B4"/>
    <mergeCell ref="A42:C42"/>
    <mergeCell ref="E4:F4"/>
    <mergeCell ref="A1:G1"/>
    <mergeCell ref="A2:G2"/>
    <mergeCell ref="A43:G43"/>
    <mergeCell ref="C4:D4"/>
  </mergeCells>
  <conditionalFormatting sqref="F6:F41">
    <cfRule type="cellIs" priority="1" operator="greaterThan" dxfId="13">
      <formula>0</formula>
    </cfRule>
    <cfRule type="cellIs" priority="2" operator="lessThan" dxfId="14">
      <formula>0</formula>
    </cfRule>
  </conditionalFormatting>
  <conditionalFormatting sqref="G6:G41">
    <cfRule type="expression" priority="3" dxfId="15" stopIfTrue="1">
      <formula>ISNUMBER(SEARCH("Частично",$G6))</formula>
    </cfRule>
    <cfRule type="expression" priority="4" dxfId="16" stopIfTrue="1">
      <formula>ISNUMBER(SEARCH("Оплачено",$G6))</formula>
    </cfRule>
    <cfRule type="expression" priority="5" dxfId="17" stopIfTrue="1">
      <formula>ISNUMBER(SEARCH("Просрочено",$G6))</formula>
    </cfRule>
    <cfRule type="expression" priority="6" dxfId="18" stopIfTrue="1">
      <formula>ISNUMBER(SEARCH("Ожидается",$G6))</formula>
    </cfRule>
  </conditionalFormatting>
  <conditionalFormatting sqref="A6:G41">
    <cfRule type="expression" priority="7" dxfId="19" stopIfTrue="0">
      <formula>AND($A6&lt;&gt;"",$A6=DATE(YEAR(TODAY()),MONTH(TODAY()),1))</formula>
    </cfRule>
    <cfRule type="expression" priority="8" dxfId="12" stopIfTrue="0">
      <formula>AND($A6&lt;&gt;"",MOD(ROW(),2)=0)</formula>
    </cfRule>
  </conditionalFormatting>
  <printOptions horizontalCentered="1"/>
  <pageMargins left="0.3" right="0.3" top="0.4" bottom="0.4" header="0.2" footer="0.2"/>
  <pageSetup orientation="portrait" fitToHeight="1" fitToWidth="1"/>
  <headerFooter>
    <oddHeader/>
    <oddFooter>&amp;C&amp;K7A7590&amp;"Arial"&amp;8Журнал арендных платежей  •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6B3AF"/>
    <outlinePr summaryBelow="1" summaryRight="1"/>
    <pageSetUpPr fitToPage="1"/>
  </sheetPr>
  <dimension ref="A1:G70"/>
  <sheetViews>
    <sheetView showGridLines="0" zoomScale="100" workbookViewId="0">
      <pane ySplit="6" topLeftCell="A7" activePane="bottomLeft" state="frozen"/>
      <selection pane="bottomLeft" activeCell="A1" sqref="A1"/>
    </sheetView>
  </sheetViews>
  <sheetFormatPr baseColWidth="8" defaultRowHeight="20"/>
  <cols>
    <col width="17" customWidth="1" min="1" max="1"/>
    <col width="14" customWidth="1" min="2" max="2"/>
    <col width="13" customWidth="1" min="3" max="3"/>
    <col width="17" customWidth="1" min="4" max="4"/>
    <col width="12" customWidth="1" min="5" max="5"/>
    <col width="12" customWidth="1" min="6" max="6"/>
    <col width="14" customWidth="1" min="7" max="7"/>
  </cols>
  <sheetData>
    <row r="1" ht="44" customHeight="1">
      <c r="A1" s="83" t="inlineStr">
        <is>
          <t>АНАЛИТИКА ПЛАТЕЖЕЙ</t>
        </is>
      </c>
      <c r="B1" s="83" t="n"/>
      <c r="C1" s="83" t="n"/>
      <c r="D1" s="83" t="n"/>
      <c r="E1" s="83" t="n"/>
      <c r="F1" s="83" t="n"/>
      <c r="G1" s="83" t="n"/>
    </row>
    <row r="2" ht="24" customHeight="1">
      <c r="A2" s="2" t="inlineStr">
        <is>
          <t>Разбивка по месяцам, годам и способам оплаты — считается автоматически</t>
        </is>
      </c>
      <c r="B2" s="2" t="n"/>
      <c r="C2" s="2" t="n"/>
      <c r="D2" s="2" t="n"/>
      <c r="E2" s="2" t="n"/>
      <c r="F2" s="2" t="n"/>
      <c r="G2" s="2" t="n"/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24" customHeight="1">
      <c r="A4" s="4" t="inlineStr">
        <is>
          <t xml:space="preserve">  ПО МЕСЯЦАМ</t>
        </is>
      </c>
      <c r="B4" s="5" t="n"/>
      <c r="C4" s="5" t="n"/>
      <c r="D4" s="5" t="n"/>
      <c r="E4" s="5" t="n"/>
      <c r="F4" s="5" t="n"/>
      <c r="G4" s="6" t="n"/>
    </row>
    <row r="5" ht="30" customHeight="1">
      <c r="A5" s="84" t="inlineStr">
        <is>
          <t>Месяц</t>
        </is>
      </c>
      <c r="B5" s="85" t="inlineStr">
        <is>
          <t>Аренда</t>
        </is>
      </c>
      <c r="C5" s="85" t="inlineStr">
        <is>
          <t>Налоги</t>
        </is>
      </c>
      <c r="D5" s="85" t="inlineStr">
        <is>
          <t>Коммуналка</t>
        </is>
      </c>
      <c r="E5" s="85" t="inlineStr">
        <is>
          <t>Залог</t>
        </is>
      </c>
      <c r="F5" s="85" t="inlineStr">
        <is>
          <t>Прочее</t>
        </is>
      </c>
      <c r="G5" s="86" t="inlineStr">
        <is>
          <t>Итого</t>
        </is>
      </c>
    </row>
    <row r="6" ht="4" customHeight="1">
      <c r="A6" s="3" t="n"/>
      <c r="B6" s="3" t="n"/>
      <c r="C6" s="3" t="n"/>
      <c r="D6" s="3" t="n"/>
      <c r="E6" s="3" t="n"/>
      <c r="F6" s="3" t="n"/>
      <c r="G6" s="3" t="n"/>
    </row>
    <row r="7" ht="21" customHeight="1">
      <c r="A7" s="76">
        <f>IF(История!$A$6="","",История!$A$6)</f>
        <v/>
      </c>
      <c r="B7" s="87">
        <f>IF($A7="","",SUMIFS(J_SUM,J_PER,$A7,J_CAT,"Аренда"))</f>
        <v/>
      </c>
      <c r="C7" s="87">
        <f>IF($A7="","",SUMIFS(J_SUM,J_PER,$A7,J_CAT,"Налог"))</f>
        <v/>
      </c>
      <c r="D7" s="87">
        <f>IF($A7="","",SUMIFS(J_SUM,J_PER,$A7,J_CAT,"Коммунальные услуги"))</f>
        <v/>
      </c>
      <c r="E7" s="87">
        <f>IF($A7="","",SUMIFS(J_SUM,J_PER,$A7,J_CAT,"Залог"))</f>
        <v/>
      </c>
      <c r="F7" s="87">
        <f>IF($A7="","",SUMIFS(J_SUM,J_PER,$A7,J_CAT,"Прочее"))</f>
        <v/>
      </c>
      <c r="G7" s="88">
        <f>IF($A7="","",SUM($B7:$F7))</f>
        <v/>
      </c>
    </row>
    <row r="8" ht="21" customHeight="1">
      <c r="A8" s="76">
        <f>IF(История!$A$7="","",История!$A$7)</f>
        <v/>
      </c>
      <c r="B8" s="87">
        <f>IF($A8="","",SUMIFS(J_SUM,J_PER,$A8,J_CAT,"Аренда"))</f>
        <v/>
      </c>
      <c r="C8" s="87">
        <f>IF($A8="","",SUMIFS(J_SUM,J_PER,$A8,J_CAT,"Налог"))</f>
        <v/>
      </c>
      <c r="D8" s="87">
        <f>IF($A8="","",SUMIFS(J_SUM,J_PER,$A8,J_CAT,"Коммунальные услуги"))</f>
        <v/>
      </c>
      <c r="E8" s="87">
        <f>IF($A8="","",SUMIFS(J_SUM,J_PER,$A8,J_CAT,"Залог"))</f>
        <v/>
      </c>
      <c r="F8" s="87">
        <f>IF($A8="","",SUMIFS(J_SUM,J_PER,$A8,J_CAT,"Прочее"))</f>
        <v/>
      </c>
      <c r="G8" s="88">
        <f>IF($A8="","",SUM($B8:$F8))</f>
        <v/>
      </c>
    </row>
    <row r="9" ht="21" customHeight="1">
      <c r="A9" s="76">
        <f>IF(История!$A$8="","",История!$A$8)</f>
        <v/>
      </c>
      <c r="B9" s="87">
        <f>IF($A9="","",SUMIFS(J_SUM,J_PER,$A9,J_CAT,"Аренда"))</f>
        <v/>
      </c>
      <c r="C9" s="87">
        <f>IF($A9="","",SUMIFS(J_SUM,J_PER,$A9,J_CAT,"Налог"))</f>
        <v/>
      </c>
      <c r="D9" s="87">
        <f>IF($A9="","",SUMIFS(J_SUM,J_PER,$A9,J_CAT,"Коммунальные услуги"))</f>
        <v/>
      </c>
      <c r="E9" s="87">
        <f>IF($A9="","",SUMIFS(J_SUM,J_PER,$A9,J_CAT,"Залог"))</f>
        <v/>
      </c>
      <c r="F9" s="87">
        <f>IF($A9="","",SUMIFS(J_SUM,J_PER,$A9,J_CAT,"Прочее"))</f>
        <v/>
      </c>
      <c r="G9" s="88">
        <f>IF($A9="","",SUM($B9:$F9))</f>
        <v/>
      </c>
    </row>
    <row r="10" ht="21" customHeight="1">
      <c r="A10" s="76">
        <f>IF(История!$A$9="","",История!$A$9)</f>
        <v/>
      </c>
      <c r="B10" s="87">
        <f>IF($A10="","",SUMIFS(J_SUM,J_PER,$A10,J_CAT,"Аренда"))</f>
        <v/>
      </c>
      <c r="C10" s="87">
        <f>IF($A10="","",SUMIFS(J_SUM,J_PER,$A10,J_CAT,"Налог"))</f>
        <v/>
      </c>
      <c r="D10" s="87">
        <f>IF($A10="","",SUMIFS(J_SUM,J_PER,$A10,J_CAT,"Коммунальные услуги"))</f>
        <v/>
      </c>
      <c r="E10" s="87">
        <f>IF($A10="","",SUMIFS(J_SUM,J_PER,$A10,J_CAT,"Залог"))</f>
        <v/>
      </c>
      <c r="F10" s="87">
        <f>IF($A10="","",SUMIFS(J_SUM,J_PER,$A10,J_CAT,"Прочее"))</f>
        <v/>
      </c>
      <c r="G10" s="88">
        <f>IF($A10="","",SUM($B10:$F10))</f>
        <v/>
      </c>
    </row>
    <row r="11" ht="21" customHeight="1">
      <c r="A11" s="76">
        <f>IF(История!$A$10="","",История!$A$10)</f>
        <v/>
      </c>
      <c r="B11" s="87">
        <f>IF($A11="","",SUMIFS(J_SUM,J_PER,$A11,J_CAT,"Аренда"))</f>
        <v/>
      </c>
      <c r="C11" s="87">
        <f>IF($A11="","",SUMIFS(J_SUM,J_PER,$A11,J_CAT,"Налог"))</f>
        <v/>
      </c>
      <c r="D11" s="87">
        <f>IF($A11="","",SUMIFS(J_SUM,J_PER,$A11,J_CAT,"Коммунальные услуги"))</f>
        <v/>
      </c>
      <c r="E11" s="87">
        <f>IF($A11="","",SUMIFS(J_SUM,J_PER,$A11,J_CAT,"Залог"))</f>
        <v/>
      </c>
      <c r="F11" s="87">
        <f>IF($A11="","",SUMIFS(J_SUM,J_PER,$A11,J_CAT,"Прочее"))</f>
        <v/>
      </c>
      <c r="G11" s="88">
        <f>IF($A11="","",SUM($B11:$F11))</f>
        <v/>
      </c>
    </row>
    <row r="12" ht="21" customHeight="1">
      <c r="A12" s="76">
        <f>IF(История!$A$11="","",История!$A$11)</f>
        <v/>
      </c>
      <c r="B12" s="87">
        <f>IF($A12="","",SUMIFS(J_SUM,J_PER,$A12,J_CAT,"Аренда"))</f>
        <v/>
      </c>
      <c r="C12" s="87">
        <f>IF($A12="","",SUMIFS(J_SUM,J_PER,$A12,J_CAT,"Налог"))</f>
        <v/>
      </c>
      <c r="D12" s="87">
        <f>IF($A12="","",SUMIFS(J_SUM,J_PER,$A12,J_CAT,"Коммунальные услуги"))</f>
        <v/>
      </c>
      <c r="E12" s="87">
        <f>IF($A12="","",SUMIFS(J_SUM,J_PER,$A12,J_CAT,"Залог"))</f>
        <v/>
      </c>
      <c r="F12" s="87">
        <f>IF($A12="","",SUMIFS(J_SUM,J_PER,$A12,J_CAT,"Прочее"))</f>
        <v/>
      </c>
      <c r="G12" s="88">
        <f>IF($A12="","",SUM($B12:$F12))</f>
        <v/>
      </c>
    </row>
    <row r="13" ht="21" customHeight="1">
      <c r="A13" s="76">
        <f>IF(История!$A$12="","",История!$A$12)</f>
        <v/>
      </c>
      <c r="B13" s="87">
        <f>IF($A13="","",SUMIFS(J_SUM,J_PER,$A13,J_CAT,"Аренда"))</f>
        <v/>
      </c>
      <c r="C13" s="87">
        <f>IF($A13="","",SUMIFS(J_SUM,J_PER,$A13,J_CAT,"Налог"))</f>
        <v/>
      </c>
      <c r="D13" s="87">
        <f>IF($A13="","",SUMIFS(J_SUM,J_PER,$A13,J_CAT,"Коммунальные услуги"))</f>
        <v/>
      </c>
      <c r="E13" s="87">
        <f>IF($A13="","",SUMIFS(J_SUM,J_PER,$A13,J_CAT,"Залог"))</f>
        <v/>
      </c>
      <c r="F13" s="87">
        <f>IF($A13="","",SUMIFS(J_SUM,J_PER,$A13,J_CAT,"Прочее"))</f>
        <v/>
      </c>
      <c r="G13" s="88">
        <f>IF($A13="","",SUM($B13:$F13))</f>
        <v/>
      </c>
    </row>
    <row r="14" ht="21" customHeight="1">
      <c r="A14" s="76">
        <f>IF(История!$A$13="","",История!$A$13)</f>
        <v/>
      </c>
      <c r="B14" s="87">
        <f>IF($A14="","",SUMIFS(J_SUM,J_PER,$A14,J_CAT,"Аренда"))</f>
        <v/>
      </c>
      <c r="C14" s="87">
        <f>IF($A14="","",SUMIFS(J_SUM,J_PER,$A14,J_CAT,"Налог"))</f>
        <v/>
      </c>
      <c r="D14" s="87">
        <f>IF($A14="","",SUMIFS(J_SUM,J_PER,$A14,J_CAT,"Коммунальные услуги"))</f>
        <v/>
      </c>
      <c r="E14" s="87">
        <f>IF($A14="","",SUMIFS(J_SUM,J_PER,$A14,J_CAT,"Залог"))</f>
        <v/>
      </c>
      <c r="F14" s="87">
        <f>IF($A14="","",SUMIFS(J_SUM,J_PER,$A14,J_CAT,"Прочее"))</f>
        <v/>
      </c>
      <c r="G14" s="88">
        <f>IF($A14="","",SUM($B14:$F14))</f>
        <v/>
      </c>
    </row>
    <row r="15" ht="21" customHeight="1">
      <c r="A15" s="76">
        <f>IF(История!$A$14="","",История!$A$14)</f>
        <v/>
      </c>
      <c r="B15" s="87">
        <f>IF($A15="","",SUMIFS(J_SUM,J_PER,$A15,J_CAT,"Аренда"))</f>
        <v/>
      </c>
      <c r="C15" s="87">
        <f>IF($A15="","",SUMIFS(J_SUM,J_PER,$A15,J_CAT,"Налог"))</f>
        <v/>
      </c>
      <c r="D15" s="87">
        <f>IF($A15="","",SUMIFS(J_SUM,J_PER,$A15,J_CAT,"Коммунальные услуги"))</f>
        <v/>
      </c>
      <c r="E15" s="87">
        <f>IF($A15="","",SUMIFS(J_SUM,J_PER,$A15,J_CAT,"Залог"))</f>
        <v/>
      </c>
      <c r="F15" s="87">
        <f>IF($A15="","",SUMIFS(J_SUM,J_PER,$A15,J_CAT,"Прочее"))</f>
        <v/>
      </c>
      <c r="G15" s="88">
        <f>IF($A15="","",SUM($B15:$F15))</f>
        <v/>
      </c>
    </row>
    <row r="16" ht="21" customHeight="1">
      <c r="A16" s="76">
        <f>IF(История!$A$15="","",История!$A$15)</f>
        <v/>
      </c>
      <c r="B16" s="87">
        <f>IF($A16="","",SUMIFS(J_SUM,J_PER,$A16,J_CAT,"Аренда"))</f>
        <v/>
      </c>
      <c r="C16" s="87">
        <f>IF($A16="","",SUMIFS(J_SUM,J_PER,$A16,J_CAT,"Налог"))</f>
        <v/>
      </c>
      <c r="D16" s="87">
        <f>IF($A16="","",SUMIFS(J_SUM,J_PER,$A16,J_CAT,"Коммунальные услуги"))</f>
        <v/>
      </c>
      <c r="E16" s="87">
        <f>IF($A16="","",SUMIFS(J_SUM,J_PER,$A16,J_CAT,"Залог"))</f>
        <v/>
      </c>
      <c r="F16" s="87">
        <f>IF($A16="","",SUMIFS(J_SUM,J_PER,$A16,J_CAT,"Прочее"))</f>
        <v/>
      </c>
      <c r="G16" s="88">
        <f>IF($A16="","",SUM($B16:$F16))</f>
        <v/>
      </c>
    </row>
    <row r="17" ht="21" customHeight="1">
      <c r="A17" s="76">
        <f>IF(История!$A$16="","",История!$A$16)</f>
        <v/>
      </c>
      <c r="B17" s="87">
        <f>IF($A17="","",SUMIFS(J_SUM,J_PER,$A17,J_CAT,"Аренда"))</f>
        <v/>
      </c>
      <c r="C17" s="87">
        <f>IF($A17="","",SUMIFS(J_SUM,J_PER,$A17,J_CAT,"Налог"))</f>
        <v/>
      </c>
      <c r="D17" s="87">
        <f>IF($A17="","",SUMIFS(J_SUM,J_PER,$A17,J_CAT,"Коммунальные услуги"))</f>
        <v/>
      </c>
      <c r="E17" s="87">
        <f>IF($A17="","",SUMIFS(J_SUM,J_PER,$A17,J_CAT,"Залог"))</f>
        <v/>
      </c>
      <c r="F17" s="87">
        <f>IF($A17="","",SUMIFS(J_SUM,J_PER,$A17,J_CAT,"Прочее"))</f>
        <v/>
      </c>
      <c r="G17" s="88">
        <f>IF($A17="","",SUM($B17:$F17))</f>
        <v/>
      </c>
    </row>
    <row r="18" ht="21" customHeight="1">
      <c r="A18" s="76">
        <f>IF(История!$A$17="","",История!$A$17)</f>
        <v/>
      </c>
      <c r="B18" s="87">
        <f>IF($A18="","",SUMIFS(J_SUM,J_PER,$A18,J_CAT,"Аренда"))</f>
        <v/>
      </c>
      <c r="C18" s="87">
        <f>IF($A18="","",SUMIFS(J_SUM,J_PER,$A18,J_CAT,"Налог"))</f>
        <v/>
      </c>
      <c r="D18" s="87">
        <f>IF($A18="","",SUMIFS(J_SUM,J_PER,$A18,J_CAT,"Коммунальные услуги"))</f>
        <v/>
      </c>
      <c r="E18" s="87">
        <f>IF($A18="","",SUMIFS(J_SUM,J_PER,$A18,J_CAT,"Залог"))</f>
        <v/>
      </c>
      <c r="F18" s="87">
        <f>IF($A18="","",SUMIFS(J_SUM,J_PER,$A18,J_CAT,"Прочее"))</f>
        <v/>
      </c>
      <c r="G18" s="88">
        <f>IF($A18="","",SUM($B18:$F18))</f>
        <v/>
      </c>
    </row>
    <row r="19" ht="21" customHeight="1">
      <c r="A19" s="76">
        <f>IF(История!$A$18="","",История!$A$18)</f>
        <v/>
      </c>
      <c r="B19" s="87">
        <f>IF($A19="","",SUMIFS(J_SUM,J_PER,$A19,J_CAT,"Аренда"))</f>
        <v/>
      </c>
      <c r="C19" s="87">
        <f>IF($A19="","",SUMIFS(J_SUM,J_PER,$A19,J_CAT,"Налог"))</f>
        <v/>
      </c>
      <c r="D19" s="87">
        <f>IF($A19="","",SUMIFS(J_SUM,J_PER,$A19,J_CAT,"Коммунальные услуги"))</f>
        <v/>
      </c>
      <c r="E19" s="87">
        <f>IF($A19="","",SUMIFS(J_SUM,J_PER,$A19,J_CAT,"Залог"))</f>
        <v/>
      </c>
      <c r="F19" s="87">
        <f>IF($A19="","",SUMIFS(J_SUM,J_PER,$A19,J_CAT,"Прочее"))</f>
        <v/>
      </c>
      <c r="G19" s="88">
        <f>IF($A19="","",SUM($B19:$F19))</f>
        <v/>
      </c>
    </row>
    <row r="20" ht="21" customHeight="1">
      <c r="A20" s="76">
        <f>IF(История!$A$19="","",История!$A$19)</f>
        <v/>
      </c>
      <c r="B20" s="87">
        <f>IF($A20="","",SUMIFS(J_SUM,J_PER,$A20,J_CAT,"Аренда"))</f>
        <v/>
      </c>
      <c r="C20" s="87">
        <f>IF($A20="","",SUMIFS(J_SUM,J_PER,$A20,J_CAT,"Налог"))</f>
        <v/>
      </c>
      <c r="D20" s="87">
        <f>IF($A20="","",SUMIFS(J_SUM,J_PER,$A20,J_CAT,"Коммунальные услуги"))</f>
        <v/>
      </c>
      <c r="E20" s="87">
        <f>IF($A20="","",SUMIFS(J_SUM,J_PER,$A20,J_CAT,"Залог"))</f>
        <v/>
      </c>
      <c r="F20" s="87">
        <f>IF($A20="","",SUMIFS(J_SUM,J_PER,$A20,J_CAT,"Прочее"))</f>
        <v/>
      </c>
      <c r="G20" s="88">
        <f>IF($A20="","",SUM($B20:$F20))</f>
        <v/>
      </c>
    </row>
    <row r="21" ht="21" customHeight="1">
      <c r="A21" s="76">
        <f>IF(История!$A$20="","",История!$A$20)</f>
        <v/>
      </c>
      <c r="B21" s="87">
        <f>IF($A21="","",SUMIFS(J_SUM,J_PER,$A21,J_CAT,"Аренда"))</f>
        <v/>
      </c>
      <c r="C21" s="87">
        <f>IF($A21="","",SUMIFS(J_SUM,J_PER,$A21,J_CAT,"Налог"))</f>
        <v/>
      </c>
      <c r="D21" s="87">
        <f>IF($A21="","",SUMIFS(J_SUM,J_PER,$A21,J_CAT,"Коммунальные услуги"))</f>
        <v/>
      </c>
      <c r="E21" s="87">
        <f>IF($A21="","",SUMIFS(J_SUM,J_PER,$A21,J_CAT,"Залог"))</f>
        <v/>
      </c>
      <c r="F21" s="87">
        <f>IF($A21="","",SUMIFS(J_SUM,J_PER,$A21,J_CAT,"Прочее"))</f>
        <v/>
      </c>
      <c r="G21" s="88">
        <f>IF($A21="","",SUM($B21:$F21))</f>
        <v/>
      </c>
    </row>
    <row r="22" ht="21" customHeight="1">
      <c r="A22" s="76">
        <f>IF(История!$A$21="","",История!$A$21)</f>
        <v/>
      </c>
      <c r="B22" s="87">
        <f>IF($A22="","",SUMIFS(J_SUM,J_PER,$A22,J_CAT,"Аренда"))</f>
        <v/>
      </c>
      <c r="C22" s="87">
        <f>IF($A22="","",SUMIFS(J_SUM,J_PER,$A22,J_CAT,"Налог"))</f>
        <v/>
      </c>
      <c r="D22" s="87">
        <f>IF($A22="","",SUMIFS(J_SUM,J_PER,$A22,J_CAT,"Коммунальные услуги"))</f>
        <v/>
      </c>
      <c r="E22" s="87">
        <f>IF($A22="","",SUMIFS(J_SUM,J_PER,$A22,J_CAT,"Залог"))</f>
        <v/>
      </c>
      <c r="F22" s="87">
        <f>IF($A22="","",SUMIFS(J_SUM,J_PER,$A22,J_CAT,"Прочее"))</f>
        <v/>
      </c>
      <c r="G22" s="88">
        <f>IF($A22="","",SUM($B22:$F22))</f>
        <v/>
      </c>
    </row>
    <row r="23" ht="21" customHeight="1">
      <c r="A23" s="76">
        <f>IF(История!$A$22="","",История!$A$22)</f>
        <v/>
      </c>
      <c r="B23" s="87">
        <f>IF($A23="","",SUMIFS(J_SUM,J_PER,$A23,J_CAT,"Аренда"))</f>
        <v/>
      </c>
      <c r="C23" s="87">
        <f>IF($A23="","",SUMIFS(J_SUM,J_PER,$A23,J_CAT,"Налог"))</f>
        <v/>
      </c>
      <c r="D23" s="87">
        <f>IF($A23="","",SUMIFS(J_SUM,J_PER,$A23,J_CAT,"Коммунальные услуги"))</f>
        <v/>
      </c>
      <c r="E23" s="87">
        <f>IF($A23="","",SUMIFS(J_SUM,J_PER,$A23,J_CAT,"Залог"))</f>
        <v/>
      </c>
      <c r="F23" s="87">
        <f>IF($A23="","",SUMIFS(J_SUM,J_PER,$A23,J_CAT,"Прочее"))</f>
        <v/>
      </c>
      <c r="G23" s="88">
        <f>IF($A23="","",SUM($B23:$F23))</f>
        <v/>
      </c>
    </row>
    <row r="24" ht="21" customHeight="1">
      <c r="A24" s="76">
        <f>IF(История!$A$23="","",История!$A$23)</f>
        <v/>
      </c>
      <c r="B24" s="87">
        <f>IF($A24="","",SUMIFS(J_SUM,J_PER,$A24,J_CAT,"Аренда"))</f>
        <v/>
      </c>
      <c r="C24" s="87">
        <f>IF($A24="","",SUMIFS(J_SUM,J_PER,$A24,J_CAT,"Налог"))</f>
        <v/>
      </c>
      <c r="D24" s="87">
        <f>IF($A24="","",SUMIFS(J_SUM,J_PER,$A24,J_CAT,"Коммунальные услуги"))</f>
        <v/>
      </c>
      <c r="E24" s="87">
        <f>IF($A24="","",SUMIFS(J_SUM,J_PER,$A24,J_CAT,"Залог"))</f>
        <v/>
      </c>
      <c r="F24" s="87">
        <f>IF($A24="","",SUMIFS(J_SUM,J_PER,$A24,J_CAT,"Прочее"))</f>
        <v/>
      </c>
      <c r="G24" s="88">
        <f>IF($A24="","",SUM($B24:$F24))</f>
        <v/>
      </c>
    </row>
    <row r="25" ht="21" customHeight="1">
      <c r="A25" s="76">
        <f>IF(История!$A$24="","",История!$A$24)</f>
        <v/>
      </c>
      <c r="B25" s="87">
        <f>IF($A25="","",SUMIFS(J_SUM,J_PER,$A25,J_CAT,"Аренда"))</f>
        <v/>
      </c>
      <c r="C25" s="87">
        <f>IF($A25="","",SUMIFS(J_SUM,J_PER,$A25,J_CAT,"Налог"))</f>
        <v/>
      </c>
      <c r="D25" s="87">
        <f>IF($A25="","",SUMIFS(J_SUM,J_PER,$A25,J_CAT,"Коммунальные услуги"))</f>
        <v/>
      </c>
      <c r="E25" s="87">
        <f>IF($A25="","",SUMIFS(J_SUM,J_PER,$A25,J_CAT,"Залог"))</f>
        <v/>
      </c>
      <c r="F25" s="87">
        <f>IF($A25="","",SUMIFS(J_SUM,J_PER,$A25,J_CAT,"Прочее"))</f>
        <v/>
      </c>
      <c r="G25" s="88">
        <f>IF($A25="","",SUM($B25:$F25))</f>
        <v/>
      </c>
    </row>
    <row r="26" ht="21" customHeight="1">
      <c r="A26" s="76">
        <f>IF(История!$A$25="","",История!$A$25)</f>
        <v/>
      </c>
      <c r="B26" s="87">
        <f>IF($A26="","",SUMIFS(J_SUM,J_PER,$A26,J_CAT,"Аренда"))</f>
        <v/>
      </c>
      <c r="C26" s="87">
        <f>IF($A26="","",SUMIFS(J_SUM,J_PER,$A26,J_CAT,"Налог"))</f>
        <v/>
      </c>
      <c r="D26" s="87">
        <f>IF($A26="","",SUMIFS(J_SUM,J_PER,$A26,J_CAT,"Коммунальные услуги"))</f>
        <v/>
      </c>
      <c r="E26" s="87">
        <f>IF($A26="","",SUMIFS(J_SUM,J_PER,$A26,J_CAT,"Залог"))</f>
        <v/>
      </c>
      <c r="F26" s="87">
        <f>IF($A26="","",SUMIFS(J_SUM,J_PER,$A26,J_CAT,"Прочее"))</f>
        <v/>
      </c>
      <c r="G26" s="88">
        <f>IF($A26="","",SUM($B26:$F26))</f>
        <v/>
      </c>
    </row>
    <row r="27" ht="21" customHeight="1">
      <c r="A27" s="76">
        <f>IF(История!$A$26="","",История!$A$26)</f>
        <v/>
      </c>
      <c r="B27" s="87">
        <f>IF($A27="","",SUMIFS(J_SUM,J_PER,$A27,J_CAT,"Аренда"))</f>
        <v/>
      </c>
      <c r="C27" s="87">
        <f>IF($A27="","",SUMIFS(J_SUM,J_PER,$A27,J_CAT,"Налог"))</f>
        <v/>
      </c>
      <c r="D27" s="87">
        <f>IF($A27="","",SUMIFS(J_SUM,J_PER,$A27,J_CAT,"Коммунальные услуги"))</f>
        <v/>
      </c>
      <c r="E27" s="87">
        <f>IF($A27="","",SUMIFS(J_SUM,J_PER,$A27,J_CAT,"Залог"))</f>
        <v/>
      </c>
      <c r="F27" s="87">
        <f>IF($A27="","",SUMIFS(J_SUM,J_PER,$A27,J_CAT,"Прочее"))</f>
        <v/>
      </c>
      <c r="G27" s="88">
        <f>IF($A27="","",SUM($B27:$F27))</f>
        <v/>
      </c>
    </row>
    <row r="28" ht="21" customHeight="1">
      <c r="A28" s="76">
        <f>IF(История!$A$27="","",История!$A$27)</f>
        <v/>
      </c>
      <c r="B28" s="87">
        <f>IF($A28="","",SUMIFS(J_SUM,J_PER,$A28,J_CAT,"Аренда"))</f>
        <v/>
      </c>
      <c r="C28" s="87">
        <f>IF($A28="","",SUMIFS(J_SUM,J_PER,$A28,J_CAT,"Налог"))</f>
        <v/>
      </c>
      <c r="D28" s="87">
        <f>IF($A28="","",SUMIFS(J_SUM,J_PER,$A28,J_CAT,"Коммунальные услуги"))</f>
        <v/>
      </c>
      <c r="E28" s="87">
        <f>IF($A28="","",SUMIFS(J_SUM,J_PER,$A28,J_CAT,"Залог"))</f>
        <v/>
      </c>
      <c r="F28" s="87">
        <f>IF($A28="","",SUMIFS(J_SUM,J_PER,$A28,J_CAT,"Прочее"))</f>
        <v/>
      </c>
      <c r="G28" s="88">
        <f>IF($A28="","",SUM($B28:$F28))</f>
        <v/>
      </c>
    </row>
    <row r="29" ht="21" customHeight="1">
      <c r="A29" s="76">
        <f>IF(История!$A$28="","",История!$A$28)</f>
        <v/>
      </c>
      <c r="B29" s="87">
        <f>IF($A29="","",SUMIFS(J_SUM,J_PER,$A29,J_CAT,"Аренда"))</f>
        <v/>
      </c>
      <c r="C29" s="87">
        <f>IF($A29="","",SUMIFS(J_SUM,J_PER,$A29,J_CAT,"Налог"))</f>
        <v/>
      </c>
      <c r="D29" s="87">
        <f>IF($A29="","",SUMIFS(J_SUM,J_PER,$A29,J_CAT,"Коммунальные услуги"))</f>
        <v/>
      </c>
      <c r="E29" s="87">
        <f>IF($A29="","",SUMIFS(J_SUM,J_PER,$A29,J_CAT,"Залог"))</f>
        <v/>
      </c>
      <c r="F29" s="87">
        <f>IF($A29="","",SUMIFS(J_SUM,J_PER,$A29,J_CAT,"Прочее"))</f>
        <v/>
      </c>
      <c r="G29" s="88">
        <f>IF($A29="","",SUM($B29:$F29))</f>
        <v/>
      </c>
    </row>
    <row r="30" ht="21" customHeight="1">
      <c r="A30" s="76">
        <f>IF(История!$A$29="","",История!$A$29)</f>
        <v/>
      </c>
      <c r="B30" s="87">
        <f>IF($A30="","",SUMIFS(J_SUM,J_PER,$A30,J_CAT,"Аренда"))</f>
        <v/>
      </c>
      <c r="C30" s="87">
        <f>IF($A30="","",SUMIFS(J_SUM,J_PER,$A30,J_CAT,"Налог"))</f>
        <v/>
      </c>
      <c r="D30" s="87">
        <f>IF($A30="","",SUMIFS(J_SUM,J_PER,$A30,J_CAT,"Коммунальные услуги"))</f>
        <v/>
      </c>
      <c r="E30" s="87">
        <f>IF($A30="","",SUMIFS(J_SUM,J_PER,$A30,J_CAT,"Залог"))</f>
        <v/>
      </c>
      <c r="F30" s="87">
        <f>IF($A30="","",SUMIFS(J_SUM,J_PER,$A30,J_CAT,"Прочее"))</f>
        <v/>
      </c>
      <c r="G30" s="88">
        <f>IF($A30="","",SUM($B30:$F30))</f>
        <v/>
      </c>
    </row>
    <row r="31" ht="21" customHeight="1">
      <c r="A31" s="76">
        <f>IF(История!$A$30="","",История!$A$30)</f>
        <v/>
      </c>
      <c r="B31" s="87">
        <f>IF($A31="","",SUMIFS(J_SUM,J_PER,$A31,J_CAT,"Аренда"))</f>
        <v/>
      </c>
      <c r="C31" s="87">
        <f>IF($A31="","",SUMIFS(J_SUM,J_PER,$A31,J_CAT,"Налог"))</f>
        <v/>
      </c>
      <c r="D31" s="87">
        <f>IF($A31="","",SUMIFS(J_SUM,J_PER,$A31,J_CAT,"Коммунальные услуги"))</f>
        <v/>
      </c>
      <c r="E31" s="87">
        <f>IF($A31="","",SUMIFS(J_SUM,J_PER,$A31,J_CAT,"Залог"))</f>
        <v/>
      </c>
      <c r="F31" s="87">
        <f>IF($A31="","",SUMIFS(J_SUM,J_PER,$A31,J_CAT,"Прочее"))</f>
        <v/>
      </c>
      <c r="G31" s="88">
        <f>IF($A31="","",SUM($B31:$F31))</f>
        <v/>
      </c>
    </row>
    <row r="32" ht="21" customHeight="1">
      <c r="A32" s="76">
        <f>IF(История!$A$31="","",История!$A$31)</f>
        <v/>
      </c>
      <c r="B32" s="87">
        <f>IF($A32="","",SUMIFS(J_SUM,J_PER,$A32,J_CAT,"Аренда"))</f>
        <v/>
      </c>
      <c r="C32" s="87">
        <f>IF($A32="","",SUMIFS(J_SUM,J_PER,$A32,J_CAT,"Налог"))</f>
        <v/>
      </c>
      <c r="D32" s="87">
        <f>IF($A32="","",SUMIFS(J_SUM,J_PER,$A32,J_CAT,"Коммунальные услуги"))</f>
        <v/>
      </c>
      <c r="E32" s="87">
        <f>IF($A32="","",SUMIFS(J_SUM,J_PER,$A32,J_CAT,"Залог"))</f>
        <v/>
      </c>
      <c r="F32" s="87">
        <f>IF($A32="","",SUMIFS(J_SUM,J_PER,$A32,J_CAT,"Прочее"))</f>
        <v/>
      </c>
      <c r="G32" s="88">
        <f>IF($A32="","",SUM($B32:$F32))</f>
        <v/>
      </c>
    </row>
    <row r="33" ht="21" customHeight="1">
      <c r="A33" s="76">
        <f>IF(История!$A$32="","",История!$A$32)</f>
        <v/>
      </c>
      <c r="B33" s="87">
        <f>IF($A33="","",SUMIFS(J_SUM,J_PER,$A33,J_CAT,"Аренда"))</f>
        <v/>
      </c>
      <c r="C33" s="87">
        <f>IF($A33="","",SUMIFS(J_SUM,J_PER,$A33,J_CAT,"Налог"))</f>
        <v/>
      </c>
      <c r="D33" s="87">
        <f>IF($A33="","",SUMIFS(J_SUM,J_PER,$A33,J_CAT,"Коммунальные услуги"))</f>
        <v/>
      </c>
      <c r="E33" s="87">
        <f>IF($A33="","",SUMIFS(J_SUM,J_PER,$A33,J_CAT,"Залог"))</f>
        <v/>
      </c>
      <c r="F33" s="87">
        <f>IF($A33="","",SUMIFS(J_SUM,J_PER,$A33,J_CAT,"Прочее"))</f>
        <v/>
      </c>
      <c r="G33" s="88">
        <f>IF($A33="","",SUM($B33:$F33))</f>
        <v/>
      </c>
    </row>
    <row r="34" ht="21" customHeight="1">
      <c r="A34" s="76">
        <f>IF(История!$A$33="","",История!$A$33)</f>
        <v/>
      </c>
      <c r="B34" s="87">
        <f>IF($A34="","",SUMIFS(J_SUM,J_PER,$A34,J_CAT,"Аренда"))</f>
        <v/>
      </c>
      <c r="C34" s="87">
        <f>IF($A34="","",SUMIFS(J_SUM,J_PER,$A34,J_CAT,"Налог"))</f>
        <v/>
      </c>
      <c r="D34" s="87">
        <f>IF($A34="","",SUMIFS(J_SUM,J_PER,$A34,J_CAT,"Коммунальные услуги"))</f>
        <v/>
      </c>
      <c r="E34" s="87">
        <f>IF($A34="","",SUMIFS(J_SUM,J_PER,$A34,J_CAT,"Залог"))</f>
        <v/>
      </c>
      <c r="F34" s="87">
        <f>IF($A34="","",SUMIFS(J_SUM,J_PER,$A34,J_CAT,"Прочее"))</f>
        <v/>
      </c>
      <c r="G34" s="88">
        <f>IF($A34="","",SUM($B34:$F34))</f>
        <v/>
      </c>
    </row>
    <row r="35" ht="21" customHeight="1">
      <c r="A35" s="76">
        <f>IF(История!$A$34="","",История!$A$34)</f>
        <v/>
      </c>
      <c r="B35" s="87">
        <f>IF($A35="","",SUMIFS(J_SUM,J_PER,$A35,J_CAT,"Аренда"))</f>
        <v/>
      </c>
      <c r="C35" s="87">
        <f>IF($A35="","",SUMIFS(J_SUM,J_PER,$A35,J_CAT,"Налог"))</f>
        <v/>
      </c>
      <c r="D35" s="87">
        <f>IF($A35="","",SUMIFS(J_SUM,J_PER,$A35,J_CAT,"Коммунальные услуги"))</f>
        <v/>
      </c>
      <c r="E35" s="87">
        <f>IF($A35="","",SUMIFS(J_SUM,J_PER,$A35,J_CAT,"Залог"))</f>
        <v/>
      </c>
      <c r="F35" s="87">
        <f>IF($A35="","",SUMIFS(J_SUM,J_PER,$A35,J_CAT,"Прочее"))</f>
        <v/>
      </c>
      <c r="G35" s="88">
        <f>IF($A35="","",SUM($B35:$F35))</f>
        <v/>
      </c>
    </row>
    <row r="36" ht="21" customHeight="1">
      <c r="A36" s="76">
        <f>IF(История!$A$35="","",История!$A$35)</f>
        <v/>
      </c>
      <c r="B36" s="87">
        <f>IF($A36="","",SUMIFS(J_SUM,J_PER,$A36,J_CAT,"Аренда"))</f>
        <v/>
      </c>
      <c r="C36" s="87">
        <f>IF($A36="","",SUMIFS(J_SUM,J_PER,$A36,J_CAT,"Налог"))</f>
        <v/>
      </c>
      <c r="D36" s="87">
        <f>IF($A36="","",SUMIFS(J_SUM,J_PER,$A36,J_CAT,"Коммунальные услуги"))</f>
        <v/>
      </c>
      <c r="E36" s="87">
        <f>IF($A36="","",SUMIFS(J_SUM,J_PER,$A36,J_CAT,"Залог"))</f>
        <v/>
      </c>
      <c r="F36" s="87">
        <f>IF($A36="","",SUMIFS(J_SUM,J_PER,$A36,J_CAT,"Прочее"))</f>
        <v/>
      </c>
      <c r="G36" s="88">
        <f>IF($A36="","",SUM($B36:$F36))</f>
        <v/>
      </c>
    </row>
    <row r="37" ht="21" customHeight="1">
      <c r="A37" s="76">
        <f>IF(История!$A$36="","",История!$A$36)</f>
        <v/>
      </c>
      <c r="B37" s="87">
        <f>IF($A37="","",SUMIFS(J_SUM,J_PER,$A37,J_CAT,"Аренда"))</f>
        <v/>
      </c>
      <c r="C37" s="87">
        <f>IF($A37="","",SUMIFS(J_SUM,J_PER,$A37,J_CAT,"Налог"))</f>
        <v/>
      </c>
      <c r="D37" s="87">
        <f>IF($A37="","",SUMIFS(J_SUM,J_PER,$A37,J_CAT,"Коммунальные услуги"))</f>
        <v/>
      </c>
      <c r="E37" s="87">
        <f>IF($A37="","",SUMIFS(J_SUM,J_PER,$A37,J_CAT,"Залог"))</f>
        <v/>
      </c>
      <c r="F37" s="87">
        <f>IF($A37="","",SUMIFS(J_SUM,J_PER,$A37,J_CAT,"Прочее"))</f>
        <v/>
      </c>
      <c r="G37" s="88">
        <f>IF($A37="","",SUM($B37:$F37))</f>
        <v/>
      </c>
    </row>
    <row r="38" ht="21" customHeight="1">
      <c r="A38" s="76">
        <f>IF(История!$A$37="","",История!$A$37)</f>
        <v/>
      </c>
      <c r="B38" s="87">
        <f>IF($A38="","",SUMIFS(J_SUM,J_PER,$A38,J_CAT,"Аренда"))</f>
        <v/>
      </c>
      <c r="C38" s="87">
        <f>IF($A38="","",SUMIFS(J_SUM,J_PER,$A38,J_CAT,"Налог"))</f>
        <v/>
      </c>
      <c r="D38" s="87">
        <f>IF($A38="","",SUMIFS(J_SUM,J_PER,$A38,J_CAT,"Коммунальные услуги"))</f>
        <v/>
      </c>
      <c r="E38" s="87">
        <f>IF($A38="","",SUMIFS(J_SUM,J_PER,$A38,J_CAT,"Залог"))</f>
        <v/>
      </c>
      <c r="F38" s="87">
        <f>IF($A38="","",SUMIFS(J_SUM,J_PER,$A38,J_CAT,"Прочее"))</f>
        <v/>
      </c>
      <c r="G38" s="88">
        <f>IF($A38="","",SUM($B38:$F38))</f>
        <v/>
      </c>
    </row>
    <row r="39" ht="21" customHeight="1">
      <c r="A39" s="76">
        <f>IF(История!$A$38="","",История!$A$38)</f>
        <v/>
      </c>
      <c r="B39" s="87">
        <f>IF($A39="","",SUMIFS(J_SUM,J_PER,$A39,J_CAT,"Аренда"))</f>
        <v/>
      </c>
      <c r="C39" s="87">
        <f>IF($A39="","",SUMIFS(J_SUM,J_PER,$A39,J_CAT,"Налог"))</f>
        <v/>
      </c>
      <c r="D39" s="87">
        <f>IF($A39="","",SUMIFS(J_SUM,J_PER,$A39,J_CAT,"Коммунальные услуги"))</f>
        <v/>
      </c>
      <c r="E39" s="87">
        <f>IF($A39="","",SUMIFS(J_SUM,J_PER,$A39,J_CAT,"Залог"))</f>
        <v/>
      </c>
      <c r="F39" s="87">
        <f>IF($A39="","",SUMIFS(J_SUM,J_PER,$A39,J_CAT,"Прочее"))</f>
        <v/>
      </c>
      <c r="G39" s="88">
        <f>IF($A39="","",SUM($B39:$F39))</f>
        <v/>
      </c>
    </row>
    <row r="40" ht="21" customHeight="1">
      <c r="A40" s="76">
        <f>IF(История!$A$39="","",История!$A$39)</f>
        <v/>
      </c>
      <c r="B40" s="87">
        <f>IF($A40="","",SUMIFS(J_SUM,J_PER,$A40,J_CAT,"Аренда"))</f>
        <v/>
      </c>
      <c r="C40" s="87">
        <f>IF($A40="","",SUMIFS(J_SUM,J_PER,$A40,J_CAT,"Налог"))</f>
        <v/>
      </c>
      <c r="D40" s="87">
        <f>IF($A40="","",SUMIFS(J_SUM,J_PER,$A40,J_CAT,"Коммунальные услуги"))</f>
        <v/>
      </c>
      <c r="E40" s="87">
        <f>IF($A40="","",SUMIFS(J_SUM,J_PER,$A40,J_CAT,"Залог"))</f>
        <v/>
      </c>
      <c r="F40" s="87">
        <f>IF($A40="","",SUMIFS(J_SUM,J_PER,$A40,J_CAT,"Прочее"))</f>
        <v/>
      </c>
      <c r="G40" s="88">
        <f>IF($A40="","",SUM($B40:$F40))</f>
        <v/>
      </c>
    </row>
    <row r="41" ht="21" customHeight="1">
      <c r="A41" s="76">
        <f>IF(История!$A$40="","",История!$A$40)</f>
        <v/>
      </c>
      <c r="B41" s="87">
        <f>IF($A41="","",SUMIFS(J_SUM,J_PER,$A41,J_CAT,"Аренда"))</f>
        <v/>
      </c>
      <c r="C41" s="87">
        <f>IF($A41="","",SUMIFS(J_SUM,J_PER,$A41,J_CAT,"Налог"))</f>
        <v/>
      </c>
      <c r="D41" s="87">
        <f>IF($A41="","",SUMIFS(J_SUM,J_PER,$A41,J_CAT,"Коммунальные услуги"))</f>
        <v/>
      </c>
      <c r="E41" s="87">
        <f>IF($A41="","",SUMIFS(J_SUM,J_PER,$A41,J_CAT,"Залог"))</f>
        <v/>
      </c>
      <c r="F41" s="87">
        <f>IF($A41="","",SUMIFS(J_SUM,J_PER,$A41,J_CAT,"Прочее"))</f>
        <v/>
      </c>
      <c r="G41" s="88">
        <f>IF($A41="","",SUM($B41:$F41))</f>
        <v/>
      </c>
    </row>
    <row r="42" ht="21" customHeight="1">
      <c r="A42" s="76">
        <f>IF(История!$A$41="","",История!$A$41)</f>
        <v/>
      </c>
      <c r="B42" s="87">
        <f>IF($A42="","",SUMIFS(J_SUM,J_PER,$A42,J_CAT,"Аренда"))</f>
        <v/>
      </c>
      <c r="C42" s="87">
        <f>IF($A42="","",SUMIFS(J_SUM,J_PER,$A42,J_CAT,"Налог"))</f>
        <v/>
      </c>
      <c r="D42" s="87">
        <f>IF($A42="","",SUMIFS(J_SUM,J_PER,$A42,J_CAT,"Коммунальные услуги"))</f>
        <v/>
      </c>
      <c r="E42" s="87">
        <f>IF($A42="","",SUMIFS(J_SUM,J_PER,$A42,J_CAT,"Залог"))</f>
        <v/>
      </c>
      <c r="F42" s="87">
        <f>IF($A42="","",SUMIFS(J_SUM,J_PER,$A42,J_CAT,"Прочее"))</f>
        <v/>
      </c>
      <c r="G42" s="88">
        <f>IF($A42="","",SUM($B42:$F42))</f>
        <v/>
      </c>
    </row>
    <row r="43" ht="26" customHeight="1">
      <c r="A43" s="89" t="inlineStr">
        <is>
          <t>ИТОГО</t>
        </is>
      </c>
      <c r="B43" s="90">
        <f>SUM(B7:B42)</f>
        <v/>
      </c>
      <c r="C43" s="90">
        <f>SUM(C7:C42)</f>
        <v/>
      </c>
      <c r="D43" s="90">
        <f>SUM(D7:D42)</f>
        <v/>
      </c>
      <c r="E43" s="90">
        <f>SUM(E7:E42)</f>
        <v/>
      </c>
      <c r="F43" s="90">
        <f>SUM(F7:F42)</f>
        <v/>
      </c>
      <c r="G43" s="91">
        <f>SUM(G7:G42)</f>
        <v/>
      </c>
    </row>
    <row r="44">
      <c r="A44" s="3" t="n"/>
      <c r="B44" s="3" t="n"/>
      <c r="C44" s="3" t="n"/>
      <c r="D44" s="3" t="n"/>
      <c r="E44" s="3" t="n"/>
      <c r="F44" s="3" t="n"/>
      <c r="G44" s="3" t="n"/>
    </row>
    <row r="45" ht="24" customHeight="1">
      <c r="A45" s="4" t="inlineStr">
        <is>
          <t xml:space="preserve">  ПО ГОДАМ</t>
        </is>
      </c>
      <c r="B45" s="5" t="n"/>
      <c r="C45" s="5" t="n"/>
      <c r="D45" s="5" t="n"/>
      <c r="E45" s="5" t="n"/>
      <c r="F45" s="5" t="n"/>
      <c r="G45" s="6" t="n"/>
    </row>
    <row r="46" ht="26" customHeight="1">
      <c r="A46" s="92" t="inlineStr">
        <is>
          <t>Год</t>
        </is>
      </c>
      <c r="B46" s="92" t="inlineStr">
        <is>
          <t>Аренда</t>
        </is>
      </c>
      <c r="C46" s="92" t="inlineStr">
        <is>
          <t>Налоги</t>
        </is>
      </c>
      <c r="D46" s="92" t="inlineStr">
        <is>
          <t>Коммуналка</t>
        </is>
      </c>
      <c r="E46" s="92" t="inlineStr">
        <is>
          <t>Залог</t>
        </is>
      </c>
      <c r="F46" s="92" t="inlineStr">
        <is>
          <t>Прочее</t>
        </is>
      </c>
      <c r="G46" s="92" t="inlineStr">
        <is>
          <t>Итого</t>
        </is>
      </c>
    </row>
    <row r="47" ht="21" customHeight="1">
      <c r="A47" s="93">
        <f>IF(Главная!$B$7="","",YEAR(Главная!$B$7)+0)</f>
        <v/>
      </c>
      <c r="B47" s="87">
        <f>IF($A47="","",SUMIFS(J_SUM,J_CAT,"Аренда",J_PER,"&gt;="&amp;DATE($A47,1,1),J_PER,"&lt;="&amp;DATE($A47,12,31)))</f>
        <v/>
      </c>
      <c r="C47" s="87">
        <f>IF($A47="","",SUMIFS(J_SUM,J_CAT,"Налог",J_PER,"&gt;="&amp;DATE($A47,1,1),J_PER,"&lt;="&amp;DATE($A47,12,31)))</f>
        <v/>
      </c>
      <c r="D47" s="87">
        <f>IF($A47="","",SUMIFS(J_SUM,J_CAT,"Коммунальные услуги",J_PER,"&gt;="&amp;DATE($A47,1,1),J_PER,"&lt;="&amp;DATE($A47,12,31)))</f>
        <v/>
      </c>
      <c r="E47" s="87">
        <f>IF($A47="","",SUMIFS(J_SUM,J_CAT,"Залог",J_PER,"&gt;="&amp;DATE($A47,1,1),J_PER,"&lt;="&amp;DATE($A47,12,31)))</f>
        <v/>
      </c>
      <c r="F47" s="87">
        <f>IF($A47="","",SUMIFS(J_SUM,J_CAT,"Прочее",J_PER,"&gt;="&amp;DATE($A47,1,1),J_PER,"&lt;="&amp;DATE($A47,12,31)))</f>
        <v/>
      </c>
      <c r="G47" s="94">
        <f>IF($A47="","",SUM($B47:$F47))</f>
        <v/>
      </c>
    </row>
    <row r="48" ht="21" customHeight="1">
      <c r="A48" s="93">
        <f>IF(Главная!$B$7="","",YEAR(Главная!$B$7)+1)</f>
        <v/>
      </c>
      <c r="B48" s="87">
        <f>IF($A48="","",SUMIFS(J_SUM,J_CAT,"Аренда",J_PER,"&gt;="&amp;DATE($A48,1,1),J_PER,"&lt;="&amp;DATE($A48,12,31)))</f>
        <v/>
      </c>
      <c r="C48" s="87">
        <f>IF($A48="","",SUMIFS(J_SUM,J_CAT,"Налог",J_PER,"&gt;="&amp;DATE($A48,1,1),J_PER,"&lt;="&amp;DATE($A48,12,31)))</f>
        <v/>
      </c>
      <c r="D48" s="87">
        <f>IF($A48="","",SUMIFS(J_SUM,J_CAT,"Коммунальные услуги",J_PER,"&gt;="&amp;DATE($A48,1,1),J_PER,"&lt;="&amp;DATE($A48,12,31)))</f>
        <v/>
      </c>
      <c r="E48" s="87">
        <f>IF($A48="","",SUMIFS(J_SUM,J_CAT,"Залог",J_PER,"&gt;="&amp;DATE($A48,1,1),J_PER,"&lt;="&amp;DATE($A48,12,31)))</f>
        <v/>
      </c>
      <c r="F48" s="87">
        <f>IF($A48="","",SUMIFS(J_SUM,J_CAT,"Прочее",J_PER,"&gt;="&amp;DATE($A48,1,1),J_PER,"&lt;="&amp;DATE($A48,12,31)))</f>
        <v/>
      </c>
      <c r="G48" s="94">
        <f>IF($A48="","",SUM($B48:$F48))</f>
        <v/>
      </c>
    </row>
    <row r="49" ht="21" customHeight="1">
      <c r="A49" s="93">
        <f>IF(Главная!$B$7="","",YEAR(Главная!$B$7)+2)</f>
        <v/>
      </c>
      <c r="B49" s="87">
        <f>IF($A49="","",SUMIFS(J_SUM,J_CAT,"Аренда",J_PER,"&gt;="&amp;DATE($A49,1,1),J_PER,"&lt;="&amp;DATE($A49,12,31)))</f>
        <v/>
      </c>
      <c r="C49" s="87">
        <f>IF($A49="","",SUMIFS(J_SUM,J_CAT,"Налог",J_PER,"&gt;="&amp;DATE($A49,1,1),J_PER,"&lt;="&amp;DATE($A49,12,31)))</f>
        <v/>
      </c>
      <c r="D49" s="87">
        <f>IF($A49="","",SUMIFS(J_SUM,J_CAT,"Коммунальные услуги",J_PER,"&gt;="&amp;DATE($A49,1,1),J_PER,"&lt;="&amp;DATE($A49,12,31)))</f>
        <v/>
      </c>
      <c r="E49" s="87">
        <f>IF($A49="","",SUMIFS(J_SUM,J_CAT,"Залог",J_PER,"&gt;="&amp;DATE($A49,1,1),J_PER,"&lt;="&amp;DATE($A49,12,31)))</f>
        <v/>
      </c>
      <c r="F49" s="87">
        <f>IF($A49="","",SUMIFS(J_SUM,J_CAT,"Прочее",J_PER,"&gt;="&amp;DATE($A49,1,1),J_PER,"&lt;="&amp;DATE($A49,12,31)))</f>
        <v/>
      </c>
      <c r="G49" s="94">
        <f>IF($A49="","",SUM($B49:$F49))</f>
        <v/>
      </c>
    </row>
    <row r="50" ht="21" customHeight="1">
      <c r="A50" s="93">
        <f>IF(Главная!$B$7="","",YEAR(Главная!$B$7)+3)</f>
        <v/>
      </c>
      <c r="B50" s="87">
        <f>IF($A50="","",SUMIFS(J_SUM,J_CAT,"Аренда",J_PER,"&gt;="&amp;DATE($A50,1,1),J_PER,"&lt;="&amp;DATE($A50,12,31)))</f>
        <v/>
      </c>
      <c r="C50" s="87">
        <f>IF($A50="","",SUMIFS(J_SUM,J_CAT,"Налог",J_PER,"&gt;="&amp;DATE($A50,1,1),J_PER,"&lt;="&amp;DATE($A50,12,31)))</f>
        <v/>
      </c>
      <c r="D50" s="87">
        <f>IF($A50="","",SUMIFS(J_SUM,J_CAT,"Коммунальные услуги",J_PER,"&gt;="&amp;DATE($A50,1,1),J_PER,"&lt;="&amp;DATE($A50,12,31)))</f>
        <v/>
      </c>
      <c r="E50" s="87">
        <f>IF($A50="","",SUMIFS(J_SUM,J_CAT,"Залог",J_PER,"&gt;="&amp;DATE($A50,1,1),J_PER,"&lt;="&amp;DATE($A50,12,31)))</f>
        <v/>
      </c>
      <c r="F50" s="87">
        <f>IF($A50="","",SUMIFS(J_SUM,J_CAT,"Прочее",J_PER,"&gt;="&amp;DATE($A50,1,1),J_PER,"&lt;="&amp;DATE($A50,12,31)))</f>
        <v/>
      </c>
      <c r="G50" s="94">
        <f>IF($A50="","",SUM($B50:$F50))</f>
        <v/>
      </c>
    </row>
    <row r="51" ht="21" customHeight="1">
      <c r="A51" s="93">
        <f>IF(Главная!$B$7="","",YEAR(Главная!$B$7)+4)</f>
        <v/>
      </c>
      <c r="B51" s="87">
        <f>IF($A51="","",SUMIFS(J_SUM,J_CAT,"Аренда",J_PER,"&gt;="&amp;DATE($A51,1,1),J_PER,"&lt;="&amp;DATE($A51,12,31)))</f>
        <v/>
      </c>
      <c r="C51" s="87">
        <f>IF($A51="","",SUMIFS(J_SUM,J_CAT,"Налог",J_PER,"&gt;="&amp;DATE($A51,1,1),J_PER,"&lt;="&amp;DATE($A51,12,31)))</f>
        <v/>
      </c>
      <c r="D51" s="87">
        <f>IF($A51="","",SUMIFS(J_SUM,J_CAT,"Коммунальные услуги",J_PER,"&gt;="&amp;DATE($A51,1,1),J_PER,"&lt;="&amp;DATE($A51,12,31)))</f>
        <v/>
      </c>
      <c r="E51" s="87">
        <f>IF($A51="","",SUMIFS(J_SUM,J_CAT,"Залог",J_PER,"&gt;="&amp;DATE($A51,1,1),J_PER,"&lt;="&amp;DATE($A51,12,31)))</f>
        <v/>
      </c>
      <c r="F51" s="87">
        <f>IF($A51="","",SUMIFS(J_SUM,J_CAT,"Прочее",J_PER,"&gt;="&amp;DATE($A51,1,1),J_PER,"&lt;="&amp;DATE($A51,12,31)))</f>
        <v/>
      </c>
      <c r="G51" s="94">
        <f>IF($A51="","",SUM($B51:$F51))</f>
        <v/>
      </c>
    </row>
    <row r="52">
      <c r="A52" s="3" t="n"/>
      <c r="B52" s="3" t="n"/>
      <c r="C52" s="3" t="n"/>
      <c r="D52" s="3" t="n"/>
      <c r="E52" s="3" t="n"/>
      <c r="F52" s="3" t="n"/>
      <c r="G52" s="3" t="n"/>
    </row>
    <row r="53" ht="24" customHeight="1">
      <c r="A53" s="4" t="inlineStr">
        <is>
          <t xml:space="preserve">  ПО СПОСОБАМ ОПЛАТЫ</t>
        </is>
      </c>
      <c r="B53" s="5" t="n"/>
      <c r="C53" s="5" t="n"/>
      <c r="D53" s="6" t="n"/>
      <c r="E53" s="3" t="n"/>
      <c r="F53" s="3" t="n"/>
      <c r="G53" s="3" t="n"/>
    </row>
    <row r="54" ht="26" customHeight="1">
      <c r="A54" s="95" t="inlineStr">
        <is>
          <t>Способ</t>
        </is>
      </c>
      <c r="B54" s="95" t="inlineStr">
        <is>
          <t>Сумма</t>
        </is>
      </c>
      <c r="C54" s="95" t="inlineStr">
        <is>
          <t>Доля</t>
        </is>
      </c>
      <c r="D54" s="95" t="inlineStr">
        <is>
          <t>Платежей</t>
        </is>
      </c>
      <c r="E54" s="3" t="n"/>
      <c r="F54" s="3" t="n"/>
      <c r="G54" s="3" t="n"/>
    </row>
    <row r="55" ht="21" customHeight="1">
      <c r="A55" s="96">
        <f>IF(Справочники!$C$11="","",Справочники!$C$11)</f>
        <v/>
      </c>
      <c r="B55" s="88">
        <f>IF($A55="","",SUMIFS(J_SUM,J_PAY,$A55))</f>
        <v/>
      </c>
      <c r="C55" s="97">
        <f>IF($A55="","",IFERROR($B55/SUM(J_SUM),0))</f>
        <v/>
      </c>
      <c r="D55" s="98">
        <f>IF($A55="","",COUNTIFS(J_PAY,$A55))</f>
        <v/>
      </c>
      <c r="E55" s="3" t="n"/>
      <c r="F55" s="3" t="n"/>
      <c r="G55" s="3" t="n"/>
    </row>
    <row r="56" ht="21" customHeight="1">
      <c r="A56" s="96">
        <f>IF(Справочники!$C$12="","",Справочники!$C$12)</f>
        <v/>
      </c>
      <c r="B56" s="88">
        <f>IF($A56="","",SUMIFS(J_SUM,J_PAY,$A56))</f>
        <v/>
      </c>
      <c r="C56" s="97">
        <f>IF($A56="","",IFERROR($B56/SUM(J_SUM),0))</f>
        <v/>
      </c>
      <c r="D56" s="98">
        <f>IF($A56="","",COUNTIFS(J_PAY,$A56))</f>
        <v/>
      </c>
      <c r="E56" s="3" t="n"/>
      <c r="F56" s="3" t="n"/>
      <c r="G56" s="3" t="n"/>
    </row>
    <row r="57" ht="21" customHeight="1">
      <c r="A57" s="96">
        <f>IF(Справочники!$C$13="","",Справочники!$C$13)</f>
        <v/>
      </c>
      <c r="B57" s="88">
        <f>IF($A57="","",SUMIFS(J_SUM,J_PAY,$A57))</f>
        <v/>
      </c>
      <c r="C57" s="97">
        <f>IF($A57="","",IFERROR($B57/SUM(J_SUM),0))</f>
        <v/>
      </c>
      <c r="D57" s="98">
        <f>IF($A57="","",COUNTIFS(J_PAY,$A57))</f>
        <v/>
      </c>
      <c r="E57" s="3" t="n"/>
      <c r="F57" s="3" t="n"/>
      <c r="G57" s="3" t="n"/>
    </row>
    <row r="58" ht="21" customHeight="1">
      <c r="A58" s="96">
        <f>IF(Справочники!$C$14="","",Справочники!$C$14)</f>
        <v/>
      </c>
      <c r="B58" s="88">
        <f>IF($A58="","",SUMIFS(J_SUM,J_PAY,$A58))</f>
        <v/>
      </c>
      <c r="C58" s="97">
        <f>IF($A58="","",IFERROR($B58/SUM(J_SUM),0))</f>
        <v/>
      </c>
      <c r="D58" s="98">
        <f>IF($A58="","",COUNTIFS(J_PAY,$A58))</f>
        <v/>
      </c>
      <c r="E58" s="3" t="n"/>
      <c r="F58" s="3" t="n"/>
      <c r="G58" s="3" t="n"/>
    </row>
    <row r="59" ht="21" customHeight="1">
      <c r="A59" s="96">
        <f>IF(Справочники!$C$15="","",Справочники!$C$15)</f>
        <v/>
      </c>
      <c r="B59" s="88">
        <f>IF($A59="","",SUMIFS(J_SUM,J_PAY,$A59))</f>
        <v/>
      </c>
      <c r="C59" s="97">
        <f>IF($A59="","",IFERROR($B59/SUM(J_SUM),0))</f>
        <v/>
      </c>
      <c r="D59" s="98">
        <f>IF($A59="","",COUNTIFS(J_PAY,$A59))</f>
        <v/>
      </c>
      <c r="E59" s="3" t="n"/>
      <c r="F59" s="3" t="n"/>
      <c r="G59" s="3" t="n"/>
    </row>
    <row r="60" ht="21" customHeight="1">
      <c r="A60" s="96">
        <f>IF(Справочники!$C$16="","",Справочники!$C$16)</f>
        <v/>
      </c>
      <c r="B60" s="88">
        <f>IF($A60="","",SUMIFS(J_SUM,J_PAY,$A60))</f>
        <v/>
      </c>
      <c r="C60" s="97">
        <f>IF($A60="","",IFERROR($B60/SUM(J_SUM),0))</f>
        <v/>
      </c>
      <c r="D60" s="98">
        <f>IF($A60="","",COUNTIFS(J_PAY,$A60))</f>
        <v/>
      </c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A1:G1"/>
    <mergeCell ref="A53:D53"/>
    <mergeCell ref="A4:G4"/>
    <mergeCell ref="A2:G2"/>
    <mergeCell ref="A45:G45"/>
  </mergeCells>
  <conditionalFormatting sqref="A7:G42">
    <cfRule type="expression" priority="1" dxfId="12">
      <formula>AND($A7&lt;&gt;"",MOD(ROW(),2)=0)</formula>
    </cfRule>
  </conditionalFormatting>
  <conditionalFormatting sqref="G7:G42">
    <cfRule type="dataBar" priority="2">
      <dataBar showValue="1">
        <cfvo type="num" val="0"/>
        <cfvo type="percentile" val="95"/>
        <color rgb="009BDEDB"/>
      </dataBar>
    </cfRule>
  </conditionalFormatting>
  <conditionalFormatting sqref="G47:G51">
    <cfRule type="dataBar" priority="3">
      <dataBar showValue="1">
        <cfvo type="num" val="0"/>
        <cfvo type="percentile" val="95"/>
        <color rgb="00C9B6E8"/>
      </dataBar>
    </cfRule>
  </conditionalFormatting>
  <conditionalFormatting sqref="C55:C60">
    <cfRule type="dataBar" priority="4">
      <dataBar showValue="1">
        <cfvo type="num" val="0"/>
        <cfvo type="num" val="1"/>
        <color rgb="009BDEDB"/>
      </dataBar>
    </cfRule>
  </conditionalFormatting>
  <printOptions horizontalCentered="1"/>
  <pageMargins left="0.3" right="0.3" top="0.4" bottom="0.4" header="0.2" footer="0.2"/>
  <pageSetup orientation="portrait" fitToHeight="1" fitToWidth="1"/>
  <headerFooter>
    <oddHeader/>
    <oddFooter>&amp;C&amp;K7A7590&amp;"Arial"&amp;8Журнал арендных платежей  •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9B6E8"/>
    <outlinePr summaryBelow="1" summaryRight="1"/>
    <pageSetUpPr fitToPage="1"/>
  </sheetPr>
  <dimension ref="A1:E36"/>
  <sheetViews>
    <sheetView showGridLines="0" zoomScale="100" workbookViewId="0">
      <selection activeCell="A1" sqref="A1"/>
    </sheetView>
  </sheetViews>
  <sheetFormatPr baseColWidth="8" defaultRowHeight="20"/>
  <cols>
    <col width="30" customWidth="1" min="1" max="1"/>
    <col width="16" customWidth="1" min="2" max="2"/>
    <col width="22" customWidth="1" min="3" max="3"/>
    <col width="22" customWidth="1" min="4" max="4"/>
    <col width="22" customWidth="1" min="5" max="5"/>
  </cols>
  <sheetData>
    <row r="1" ht="44" customHeight="1">
      <c r="A1" s="99" t="inlineStr">
        <is>
          <t>СПРАВОЧНИКИ И НАСТРОЙКИ</t>
        </is>
      </c>
      <c r="B1" s="99" t="n"/>
      <c r="C1" s="99" t="n"/>
      <c r="D1" s="99" t="n"/>
      <c r="E1" s="99" t="n"/>
    </row>
    <row r="2" ht="24" customHeight="1">
      <c r="A2" s="2" t="inlineStr">
        <is>
          <t>Списки ниже подставляются в выпадающие меню журнала — их можно менять</t>
        </is>
      </c>
      <c r="B2" s="2" t="n"/>
      <c r="C2" s="2" t="n"/>
      <c r="D2" s="2" t="n"/>
      <c r="E2" s="2" t="n"/>
    </row>
    <row r="3" ht="6" customHeight="1">
      <c r="A3" s="3" t="n"/>
      <c r="B3" s="3" t="n"/>
      <c r="C3" s="3" t="n"/>
      <c r="D3" s="3" t="n"/>
      <c r="E3" s="3" t="n"/>
    </row>
    <row r="4" ht="24" customHeight="1">
      <c r="A4" s="4" t="inlineStr">
        <is>
          <t xml:space="preserve">  НАСТРОЙКИ РАСЧЁТА</t>
        </is>
      </c>
      <c r="B4" s="5" t="n"/>
      <c r="C4" s="5" t="n"/>
      <c r="D4" s="5" t="n"/>
      <c r="E4" s="6" t="n"/>
    </row>
    <row r="5" ht="24" customHeight="1">
      <c r="A5" s="7" t="inlineStr">
        <is>
          <t>Ставка налога (НПД/НДФЛ)</t>
        </is>
      </c>
      <c r="B5" s="100" t="n">
        <v>0.06</v>
      </c>
      <c r="C5" s="101" t="inlineStr">
        <is>
          <t>Используется в карточке «Оплачено налогов» для справочного расчёта</t>
        </is>
      </c>
      <c r="D5" s="101" t="n"/>
      <c r="E5" s="101" t="n"/>
    </row>
    <row r="6" ht="24" customHeight="1">
      <c r="A6" s="7" t="inlineStr">
        <is>
          <t>Плановая коммуналка, ₽/мес</t>
        </is>
      </c>
      <c r="B6" s="16" t="n">
        <v>5000</v>
      </c>
      <c r="C6" s="101" t="inlineStr">
        <is>
          <t>Ориентир для сравнения фактических платежей</t>
        </is>
      </c>
      <c r="D6" s="101" t="n"/>
      <c r="E6" s="101" t="n"/>
    </row>
    <row r="7" ht="24" customHeight="1">
      <c r="A7" s="7" t="inlineStr">
        <is>
          <t>Напомнить за N дней до срока</t>
        </is>
      </c>
      <c r="B7" s="102" t="n">
        <v>3</v>
      </c>
      <c r="C7" s="101" t="inlineStr">
        <is>
          <t>Через сколько дней до срока подсвечивать платёж</t>
        </is>
      </c>
      <c r="D7" s="101" t="n"/>
      <c r="E7" s="101" t="n"/>
    </row>
    <row r="8" ht="12" customHeight="1">
      <c r="A8" s="3" t="n"/>
      <c r="B8" s="3" t="n"/>
      <c r="C8" s="3" t="n"/>
      <c r="D8" s="3" t="n"/>
      <c r="E8" s="3" t="n"/>
    </row>
    <row r="9" ht="24" customHeight="1">
      <c r="A9" s="4" t="inlineStr">
        <is>
          <t xml:space="preserve">  СПИСКИ ДЛЯ ВЫПАДАЮЩИХ МЕНЮ</t>
        </is>
      </c>
      <c r="B9" s="5" t="n"/>
      <c r="C9" s="5" t="n"/>
      <c r="D9" s="5" t="n"/>
      <c r="E9" s="6" t="n"/>
    </row>
    <row r="10" ht="26" customHeight="1">
      <c r="A10" s="95" t="inlineStr">
        <is>
          <t>Категории платежей</t>
        </is>
      </c>
      <c r="C10" s="95" t="inlineStr">
        <is>
          <t>Способы оплаты</t>
        </is>
      </c>
      <c r="D10" s="95" t="inlineStr">
        <is>
          <t>Статусы (справочно)</t>
        </is>
      </c>
      <c r="E10" s="95" t="inlineStr">
        <is>
          <t>Годы</t>
        </is>
      </c>
    </row>
    <row r="11" ht="21" customHeight="1">
      <c r="A11" s="103" t="inlineStr">
        <is>
          <t>Аренда</t>
        </is>
      </c>
      <c r="B11" s="104" t="n"/>
      <c r="C11" s="105" t="inlineStr">
        <is>
          <t>Наличные</t>
        </is>
      </c>
      <c r="D11" s="106" t="inlineStr">
        <is>
          <t>✔ Оплачено</t>
        </is>
      </c>
      <c r="E11" s="107">
        <f>IF(Главная!$B$7="","",YEAR(Главная!$B$7)+0)</f>
        <v/>
      </c>
    </row>
    <row r="12" ht="21" customHeight="1">
      <c r="A12" s="103" t="inlineStr">
        <is>
          <t>Налог</t>
        </is>
      </c>
      <c r="B12" s="104" t="n"/>
      <c r="C12" s="105" t="inlineStr">
        <is>
          <t>Перевод СБП</t>
        </is>
      </c>
      <c r="D12" s="106" t="inlineStr">
        <is>
          <t>◐ Частично</t>
        </is>
      </c>
      <c r="E12" s="107">
        <f>IF(Главная!$B$7="","",YEAR(Главная!$B$7)+1)</f>
        <v/>
      </c>
    </row>
    <row r="13" ht="21" customHeight="1">
      <c r="A13" s="103" t="inlineStr">
        <is>
          <t>Коммунальные услуги</t>
        </is>
      </c>
      <c r="B13" s="104" t="n"/>
      <c r="C13" s="105" t="inlineStr">
        <is>
          <t>Банковская карта</t>
        </is>
      </c>
      <c r="D13" s="106" t="inlineStr">
        <is>
          <t>⚠ Просрочено</t>
        </is>
      </c>
      <c r="E13" s="107">
        <f>IF(Главная!$B$7="","",YEAR(Главная!$B$7)+2)</f>
        <v/>
      </c>
    </row>
    <row r="14" ht="21" customHeight="1">
      <c r="A14" s="103" t="inlineStr">
        <is>
          <t>Залог</t>
        </is>
      </c>
      <c r="B14" s="104" t="n"/>
      <c r="C14" s="105" t="inlineStr">
        <is>
          <t>Расчётный счёт</t>
        </is>
      </c>
      <c r="D14" s="106" t="inlineStr">
        <is>
          <t>⏳ Ожидается</t>
        </is>
      </c>
      <c r="E14" s="107">
        <f>IF(Главная!$B$7="","",YEAR(Главная!$B$7)+3)</f>
        <v/>
      </c>
    </row>
    <row r="15" ht="21" customHeight="1">
      <c r="A15" s="103" t="inlineStr">
        <is>
          <t>Прочее</t>
        </is>
      </c>
      <c r="B15" s="104" t="n"/>
      <c r="C15" s="105" t="inlineStr">
        <is>
          <t>Почтовый перевод</t>
        </is>
      </c>
      <c r="D15" s="106" t="inlineStr">
        <is>
          <t>—</t>
        </is>
      </c>
      <c r="E15" s="107">
        <f>IF(Главная!$B$7="","",YEAR(Главная!$B$7)+4)</f>
        <v/>
      </c>
    </row>
    <row r="16" ht="21" customHeight="1">
      <c r="A16" s="3" t="n"/>
      <c r="B16" s="3" t="n"/>
      <c r="C16" s="105" t="inlineStr">
        <is>
          <t>Другое</t>
        </is>
      </c>
      <c r="D16" s="3" t="n"/>
      <c r="E16" s="3" t="n"/>
    </row>
    <row r="17" ht="12" customHeight="1">
      <c r="A17" s="3" t="n"/>
      <c r="B17" s="3" t="n"/>
      <c r="C17" s="3" t="n"/>
      <c r="D17" s="3" t="n"/>
      <c r="E17" s="3" t="n"/>
    </row>
    <row r="18" ht="24" customHeight="1">
      <c r="A18" s="4" t="inlineStr">
        <is>
          <t xml:space="preserve">  ЛЕГЕНДА ОФОРМЛЕНИЯ</t>
        </is>
      </c>
      <c r="B18" s="5" t="n"/>
      <c r="C18" s="5" t="n"/>
      <c r="D18" s="5" t="n"/>
      <c r="E18" s="6" t="n"/>
    </row>
    <row r="19" ht="21" customHeight="1">
      <c r="A19" s="108" t="inlineStr">
        <is>
          <t>Белое поле с бирюзовой рамкой</t>
        </is>
      </c>
      <c r="B19" s="109" t="inlineStr">
        <is>
          <t>ячейка для ручного ввода — её можно заполнять</t>
        </is>
      </c>
      <c r="C19" s="109" t="n"/>
      <c r="D19" s="109" t="n"/>
      <c r="E19" s="109" t="n"/>
    </row>
    <row r="20" ht="21" customHeight="1">
      <c r="A20" s="110" t="inlineStr">
        <is>
          <t>Сиреневая ячейка со значком 🤖</t>
        </is>
      </c>
      <c r="B20" s="109" t="inlineStr">
        <is>
          <t>формула, защищена от изменений</t>
        </is>
      </c>
      <c r="C20" s="109" t="n"/>
      <c r="D20" s="109" t="n"/>
      <c r="E20" s="109" t="n"/>
    </row>
    <row r="21" ht="21" customHeight="1">
      <c r="A21" s="111" t="inlineStr">
        <is>
          <t>Зелёная подсветка</t>
        </is>
      </c>
      <c r="B21" s="109" t="inlineStr">
        <is>
          <t>оплачено полностью / ошибок нет</t>
        </is>
      </c>
      <c r="C21" s="109" t="n"/>
      <c r="D21" s="109" t="n"/>
      <c r="E21" s="109" t="n"/>
    </row>
    <row r="22" ht="21" customHeight="1">
      <c r="A22" s="112" t="inlineStr">
        <is>
          <t>Янтарная подсветка</t>
        </is>
      </c>
      <c r="B22" s="109" t="inlineStr">
        <is>
          <t>частичная оплата или незаполненное поле</t>
        </is>
      </c>
      <c r="C22" s="109" t="n"/>
      <c r="D22" s="109" t="n"/>
      <c r="E22" s="109" t="n"/>
    </row>
    <row r="23" ht="21" customHeight="1">
      <c r="A23" s="113" t="inlineStr">
        <is>
          <t>Красная подсветка</t>
        </is>
      </c>
      <c r="B23" s="109" t="inlineStr">
        <is>
          <t>просрочка, долг или ошибка ввода</t>
        </is>
      </c>
      <c r="C23" s="109" t="n"/>
      <c r="D23" s="109" t="n"/>
      <c r="E23" s="109" t="n"/>
    </row>
    <row r="24" ht="12" customHeight="1">
      <c r="A24" s="3" t="n"/>
      <c r="B24" s="3" t="n"/>
      <c r="C24" s="3" t="n"/>
      <c r="D24" s="3" t="n"/>
      <c r="E24" s="3" t="n"/>
    </row>
    <row r="25" ht="24" customHeight="1">
      <c r="A25" s="4" t="inlineStr">
        <is>
          <t xml:space="preserve">  ПАМЯТКА: ПРИМЕР ЗАПОЛНЕНИЯ СТРОКИ ЖУРНАЛА</t>
        </is>
      </c>
      <c r="B25" s="5" t="n"/>
      <c r="C25" s="5" t="n"/>
      <c r="D25" s="5" t="n"/>
      <c r="E25" s="6" t="n"/>
    </row>
    <row r="26" ht="20" customHeight="1">
      <c r="A26" s="114" t="inlineStr">
        <is>
          <t>Дата</t>
        </is>
      </c>
      <c r="B26" s="115" t="inlineStr">
        <is>
          <t>05.08.2026</t>
        </is>
      </c>
      <c r="C26" s="116" t="n"/>
      <c r="D26" s="117" t="inlineStr">
        <is>
          <t>Это только образец на память — копировать ничего не нужно. Столбец «Месяц» можно не заполнять: платёж зачтётся за месяц своей даты, а колонка «🤖 Учтён за месяц» покажет результат. Значения выбираются из списка или вписываются вручную. Списки категорий и способов оплаты зашиты в проверку данных на листе «Регистрация»: чтобы изменить, выделите столбец и откройте «Данные → Проверка данных».</t>
        </is>
      </c>
      <c r="E26" s="118" t="n"/>
    </row>
    <row r="27" ht="20" customHeight="1">
      <c r="A27" s="114" t="inlineStr">
        <is>
          <t>Категория</t>
        </is>
      </c>
      <c r="B27" s="115" t="inlineStr">
        <is>
          <t>Аренда</t>
        </is>
      </c>
      <c r="C27" s="116" t="n"/>
      <c r="D27" s="119" t="n"/>
      <c r="E27" s="120" t="n"/>
    </row>
    <row r="28" ht="20" customHeight="1">
      <c r="A28" s="114" t="inlineStr">
        <is>
          <t>Месяц (период)</t>
        </is>
      </c>
      <c r="B28" s="115" t="inlineStr">
        <is>
          <t>август 2026</t>
        </is>
      </c>
      <c r="C28" s="116" t="n"/>
      <c r="D28" s="119" t="n"/>
      <c r="E28" s="120" t="n"/>
    </row>
    <row r="29" ht="20" customHeight="1">
      <c r="A29" s="114" t="inlineStr">
        <is>
          <t>Сумма</t>
        </is>
      </c>
      <c r="B29" s="115" t="inlineStr">
        <is>
          <t>45 000 ₽</t>
        </is>
      </c>
      <c r="C29" s="116" t="n"/>
      <c r="D29" s="119" t="n"/>
      <c r="E29" s="120" t="n"/>
    </row>
    <row r="30" ht="20" customHeight="1">
      <c r="A30" s="114" t="inlineStr">
        <is>
          <t>Способ</t>
        </is>
      </c>
      <c r="B30" s="115" t="inlineStr">
        <is>
          <t>Перевод СБП</t>
        </is>
      </c>
      <c r="C30" s="116" t="n"/>
      <c r="D30" s="121" t="n"/>
      <c r="E30" s="122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26">
    <mergeCell ref="A15:B15"/>
    <mergeCell ref="A11:B11"/>
    <mergeCell ref="A1:E1"/>
    <mergeCell ref="D26:E30"/>
    <mergeCell ref="B20:E20"/>
    <mergeCell ref="B27:C27"/>
    <mergeCell ref="A25:E25"/>
    <mergeCell ref="C7:E7"/>
    <mergeCell ref="A18:E18"/>
    <mergeCell ref="B22:E22"/>
    <mergeCell ref="A12:B12"/>
    <mergeCell ref="B29:C29"/>
    <mergeCell ref="A2:E2"/>
    <mergeCell ref="B21:E21"/>
    <mergeCell ref="B28:C28"/>
    <mergeCell ref="A14:B14"/>
    <mergeCell ref="C6:E6"/>
    <mergeCell ref="B23:E23"/>
    <mergeCell ref="B30:C30"/>
    <mergeCell ref="A4:E4"/>
    <mergeCell ref="C5:E5"/>
    <mergeCell ref="A10:B10"/>
    <mergeCell ref="A13:B13"/>
    <mergeCell ref="B19:E19"/>
    <mergeCell ref="B26:C26"/>
    <mergeCell ref="A9:E9"/>
  </mergeCells>
  <printOptions horizontalCentered="1"/>
  <pageMargins left="0.3" right="0.3" top="0.4" bottom="0.4" header="0.2" footer="0.2"/>
  <pageSetup orientation="portrait" fitToHeight="0" fitToWidth="1"/>
  <headerFooter>
    <oddHeader/>
    <oddFooter>&amp;C&amp;K7A7590&amp;"Arial"&amp;8Журнал арендных платежей  •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2026-10-22T19:23:00Z</dcterms:created>
  <dcterms:modified xmlns:dcterms="http://purl.org/dc/terms/" xmlns:xsi="http://www.w3.org/2001/XMLSchema-instance" xsi:type="dcterms:W3CDTF">2026-10-22T19:23:00Z</dcterms:modified>
</cp:coreProperties>
</file>